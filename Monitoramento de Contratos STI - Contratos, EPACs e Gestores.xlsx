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selhojf.sharepoint.com/sites/SEPGOV/Documentos Compartilhados/General/Contratos e Planejamento das Contratações/"/>
    </mc:Choice>
  </mc:AlternateContent>
  <xr:revisionPtr revIDLastSave="0" documentId="8_{682B0F87-FCC5-4538-AA3B-F9E0743343C6}" xr6:coauthVersionLast="47" xr6:coauthVersionMax="47" xr10:uidLastSave="{00000000-0000-0000-0000-000000000000}"/>
  <bookViews>
    <workbookView xWindow="-120" yWindow="-120" windowWidth="29040" windowHeight="15720" tabRatio="910" firstSheet="9" activeTab="9" xr2:uid="{00000000-000D-0000-FFFF-FFFF00000000}"/>
  </bookViews>
  <sheets>
    <sheet name="CTR 2018" sheetId="6" state="hidden" r:id="rId1"/>
    <sheet name="CTR 2019" sheetId="10" state="hidden" r:id="rId2"/>
    <sheet name="CTR 2020" sheetId="11" state="hidden" r:id="rId3"/>
    <sheet name="CTR 2021" sheetId="12" state="hidden" r:id="rId4"/>
    <sheet name="CTR 2022" sheetId="13" state="hidden" r:id="rId5"/>
    <sheet name="CTR 2023" sheetId="14" state="hidden" r:id="rId6"/>
    <sheet name="CTR 2024" sheetId="15" state="hidden" r:id="rId7"/>
    <sheet name="CTR 2025" sheetId="17" state="hidden" r:id="rId8"/>
    <sheet name="CTR 2026" sheetId="24" state="hidden" r:id="rId9"/>
    <sheet name="Consolidado - CTRs" sheetId="27" r:id="rId10"/>
    <sheet name="Consolidado - ARPs" sheetId="28" r:id="rId11"/>
    <sheet name="EPCs 2023" sheetId="1" state="hidden" r:id="rId12"/>
    <sheet name="EPCs 2024" sheetId="9" state="hidden" r:id="rId13"/>
    <sheet name="EPCs 2025" sheetId="18" r:id="rId14"/>
    <sheet name="EPCs 2026" sheetId="26" r:id="rId15"/>
    <sheet name="Gestores e Fiscais 2022" sheetId="4" state="hidden" r:id="rId16"/>
    <sheet name="Gestores e Fiscais 2023" sheetId="3" state="hidden" r:id="rId17"/>
    <sheet name="Gestores e Fiscais 2024" sheetId="5" state="hidden" r:id="rId18"/>
    <sheet name="Gestores e Fiscais 2025" sheetId="19" r:id="rId19"/>
    <sheet name="Gestores e Fiscais 2026" sheetId="25" r:id="rId20"/>
    <sheet name="Gestores Acordos Corporativos" sheetId="20" state="hidden" r:id="rId21"/>
  </sheets>
  <definedNames>
    <definedName name="_xlnm._FilterDatabase" localSheetId="0" hidden="1">'CTR 2018'!$B$3:$N$3</definedName>
    <definedName name="_xlnm._FilterDatabase" localSheetId="1" hidden="1">'CTR 2019'!$B$3:$N$14</definedName>
    <definedName name="_xlnm._FilterDatabase" localSheetId="2" hidden="1">'CTR 2020'!$B$3:$N$17</definedName>
    <definedName name="_xlnm._FilterDatabase" localSheetId="3" hidden="1">'CTR 2021'!$B$3:$N$19</definedName>
    <definedName name="_xlnm._FilterDatabase" localSheetId="4" hidden="1">'CTR 2022'!$B$3:$N$13</definedName>
    <definedName name="_xlnm._FilterDatabase" localSheetId="5" hidden="1">'CTR 2023'!$B$3:$N$13</definedName>
    <definedName name="_xlnm._FilterDatabase" localSheetId="6" hidden="1">'CTR 2024'!$B$3:$N$3</definedName>
    <definedName name="_xlnm._FilterDatabase" localSheetId="8" hidden="1">'CTR 2026'!$B$3:$O$3</definedName>
    <definedName name="_xlnm._FilterDatabase" localSheetId="20" hidden="1">'Gestores Acordos Corporativos'!$B$2:$J$12</definedName>
    <definedName name="_xlnm._FilterDatabase" localSheetId="17" hidden="1">'Gestores e Fiscais 2024'!$B$2:$J$13</definedName>
    <definedName name="_xlnm._FilterDatabase" localSheetId="18" hidden="1">'Gestores e Fiscais 2025'!$B$2:$J$2</definedName>
    <definedName name="_xlnm._FilterDatabase" localSheetId="19" hidden="1">'Gestores e Fiscais 2026'!$B$2:$J$44</definedName>
    <definedName name="_xlnm._FilterDatabase" localSheetId="7" hidden="1">'CTR 2025'!$B$3:$O$22</definedName>
    <definedName name="_xlnm._FilterDatabase" localSheetId="10" hidden="1">'Consolidado - ARPs'!$A$3:$F$8</definedName>
    <definedName name="_xlnm._FilterDatabase" localSheetId="9" hidden="1">'Consolidado - CTRs'!$A$3:$H$68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27" l="1"/>
  <c r="H54" i="27"/>
  <c r="H5" i="27"/>
  <c r="H6" i="27"/>
  <c r="H8" i="27"/>
  <c r="H68" i="27"/>
  <c r="H7" i="27"/>
  <c r="H4" i="27"/>
  <c r="H67" i="27"/>
  <c r="H13" i="27"/>
  <c r="F5" i="28"/>
  <c r="F6" i="28"/>
  <c r="F7" i="28"/>
  <c r="F8" i="28"/>
  <c r="F4" i="28"/>
  <c r="F2" i="28" s="1" a="1"/>
  <c r="F2" i="28" s="1"/>
  <c r="H9" i="27"/>
  <c r="H53" i="27"/>
  <c r="H55" i="27"/>
  <c r="H59" i="27"/>
  <c r="H60" i="27"/>
  <c r="H61" i="27"/>
  <c r="H62" i="27"/>
  <c r="H63" i="27"/>
  <c r="H64" i="27"/>
  <c r="H65" i="27"/>
  <c r="H66" i="27"/>
  <c r="H47" i="27"/>
  <c r="H45" i="27"/>
  <c r="H44" i="27"/>
  <c r="H46" i="27"/>
  <c r="H49" i="27"/>
  <c r="H51" i="27"/>
  <c r="H42" i="27"/>
  <c r="H43" i="27"/>
  <c r="H48" i="27"/>
  <c r="H56" i="27"/>
  <c r="H50" i="27"/>
  <c r="H57" i="27"/>
  <c r="H58" i="27"/>
  <c r="H38" i="27"/>
  <c r="H39" i="27"/>
  <c r="H40" i="27"/>
  <c r="H41" i="27"/>
  <c r="H34" i="27"/>
  <c r="H35" i="27"/>
  <c r="H36" i="27"/>
  <c r="H37" i="27"/>
  <c r="H28" i="27"/>
  <c r="H29" i="27"/>
  <c r="H30" i="27"/>
  <c r="H31" i="27"/>
  <c r="H32" i="27"/>
  <c r="H33" i="27"/>
  <c r="H24" i="27"/>
  <c r="H25" i="27"/>
  <c r="H26" i="27"/>
  <c r="H27" i="27"/>
  <c r="H20" i="27"/>
  <c r="H21" i="27"/>
  <c r="H22" i="27"/>
  <c r="H23" i="27"/>
  <c r="H17" i="27"/>
  <c r="H18" i="27"/>
  <c r="H19" i="27"/>
  <c r="H14" i="27"/>
  <c r="H15" i="27"/>
  <c r="H16" i="27"/>
  <c r="H12" i="27"/>
  <c r="H10" i="27"/>
  <c r="H11" i="27"/>
  <c r="H2" i="27" l="1" a="1"/>
  <c r="H2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tc={D17B3BE0-06AE-42C2-BF3A-684CD4B16157}</author>
  </authors>
  <commentList>
    <comment ref="L13" authorId="0" shapeId="0" xr:uid="{D17B3BE0-06AE-42C2-BF3A-684CD4B16157}">
      <text>
        <t>[Threaded comment]
Your version of Excel allows you to read this threaded comment; however, any edits to it will get removed if the file is opened in a newer version of Excel. Learn more: https://go.microsoft.com/fwlink/?linkid=870924
Comment:
    Perda de prazo da renovação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Celso Gustavo Cavalcante Ribeiro</author>
  </authors>
  <commentList>
    <comment ref="G52" authorId="0" shapeId="0" xr:uid="{7BA043B9-2BA1-4A5A-8BAA-A68120C342B4}">
      <text>
        <r>
          <rPr>
            <sz val="11"/>
            <color theme="1"/>
            <rFont val="Calibri"/>
            <family val="2"/>
            <scheme val="minor"/>
          </rPr>
          <t>Celso Gustavo Cavalcante Ribeiro:
Ajustar final da vigência quando ocorrer a entrega e tiver o TRD.</t>
        </r>
      </text>
    </comment>
    <comment ref="G54" authorId="0" shapeId="0" xr:uid="{DA1DCA82-59EE-4E15-AFC8-F93319B3463F}">
      <text>
        <r>
          <rPr>
            <sz val="11"/>
            <color theme="1"/>
            <rFont val="Calibri"/>
            <family val="2"/>
            <scheme val="minor"/>
          </rPr>
          <t>Celso Gustavo Cavalcante Ribeiro:
Ajustar final da vigência quando ocorrer a entrega e tiver o TRD.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<sst xmlns="http://schemas.openxmlformats.org/spreadsheetml/2006/main" count="4265" uniqueCount="1253">
  <si>
    <t>Contratos da STI - 2018</t>
  </si>
  <si>
    <t>Número 
do Contrato</t>
  </si>
  <si>
    <t>Processo SEI</t>
  </si>
  <si>
    <t>Contratada</t>
  </si>
  <si>
    <t>Objeto</t>
  </si>
  <si>
    <t>Data de assinatura</t>
  </si>
  <si>
    <t>A partir de quando?
(Assinatura ou TRD)</t>
  </si>
  <si>
    <t>Vigência (meses)</t>
  </si>
  <si>
    <t>Termo Aditivo</t>
  </si>
  <si>
    <t>Final da Vigência</t>
  </si>
  <si>
    <t>Status
(Vigente ou Encerrado)</t>
  </si>
  <si>
    <t>Renovável?</t>
  </si>
  <si>
    <t>Portaria Gestor</t>
  </si>
  <si>
    <t>009/2018</t>
  </si>
  <si>
    <t>CJF-ADM-2017/00542</t>
  </si>
  <si>
    <t>PADRÃO IX INFORMÁTICA SISTEMAS ABERTOS S.A.</t>
  </si>
  <si>
    <t>010/2018</t>
  </si>
  <si>
    <t>CJF-ADM-2017/00500</t>
  </si>
  <si>
    <t>HEWLETT PACKARD BRASIL LTDA</t>
  </si>
  <si>
    <t>017/2018</t>
  </si>
  <si>
    <t>CJF-ADM-2018/00031</t>
  </si>
  <si>
    <t>SERVIÇO FEDERAL DE PROCESSAMENTO DE DADOS (SERPRO)</t>
  </si>
  <si>
    <t>027/2018</t>
  </si>
  <si>
    <t>CJF-ADM-2018/00194</t>
  </si>
  <si>
    <t>028/2018</t>
  </si>
  <si>
    <t>CJF-ADM-2018/00032</t>
  </si>
  <si>
    <t>INGRAM MICRO INFORMÁTICA LTDA</t>
  </si>
  <si>
    <t>031/2018</t>
  </si>
  <si>
    <t>CJF-ADM-2017/00320</t>
  </si>
  <si>
    <t>ALLTECH SOLUÇÕES EM TECNOLOGIA LTDA</t>
  </si>
  <si>
    <t>Contratos da STI - 2019</t>
  </si>
  <si>
    <t>Unidade Demandante</t>
  </si>
  <si>
    <t>004/2019
(id. 0007590)</t>
  </si>
  <si>
    <t>0000217-10-2019.4.90.800</t>
  </si>
  <si>
    <t>SUTEC</t>
  </si>
  <si>
    <t>SERVIX INFORMÁTICA LTDA</t>
  </si>
  <si>
    <t>Prestação de serviços de manutenção corretiva do equipamento Storage Netapp FAS-6290.</t>
  </si>
  <si>
    <t>Assinatura do CTR</t>
  </si>
  <si>
    <t>-</t>
  </si>
  <si>
    <t>Encerrado</t>
  </si>
  <si>
    <t>015/2019
(id. 0048534)</t>
  </si>
  <si>
    <t>0000001-19.2019.4.90.8000</t>
  </si>
  <si>
    <t>SCE</t>
  </si>
  <si>
    <t>LEPIDUS TECNOLOGIA Ltda.ME</t>
  </si>
  <si>
    <t>Constitui objeto deste contrato a prestação de serviços de hospedagem em nuvens do conteúdo editorial da Revista CEJ, compreendendo a atualização, manutenção preventiva, corretiva e evolutiva para o Open Journal Systems ‒ OJS/SEER - Sistema Eletrônico de Editoração de Revistas, bem como a realização e a disponibilização de backups diários.</t>
  </si>
  <si>
    <t>017/2019
(id. 0081455)</t>
  </si>
  <si>
    <t>0002893-56.2019.4.90.8000</t>
  </si>
  <si>
    <t>SESSER</t>
  </si>
  <si>
    <t>DATAPREV - EMPRESA DE TECNOLOGIA E INFORMAÇÕES DA PREVIDÊNCIA</t>
  </si>
  <si>
    <r>
      <t>Serviço de distribuição de informações de cadastro com tecnologia </t>
    </r>
    <r>
      <rPr>
        <i/>
        <sz val="12"/>
        <rFont val="Times New Roman"/>
        <family val="1"/>
      </rPr>
      <t>Blockchain</t>
    </r>
    <r>
      <rPr>
        <sz val="12"/>
        <rFont val="Times New Roman"/>
        <family val="1"/>
      </rPr>
      <t>, como Serviço – BcaaS.</t>
    </r>
  </si>
  <si>
    <t>Não</t>
  </si>
  <si>
    <t>Portaria n. 870/2023
(id. 0538967)</t>
  </si>
  <si>
    <t>019/2019
(id. 0058677)</t>
  </si>
  <si>
    <t>0001734-80.2019.4.90.8000</t>
  </si>
  <si>
    <t>INGRAM MICRO
BRASIL LTDA</t>
  </si>
  <si>
    <t>Subscrição de serviço de suporte prioritário de distribuição SUSE Linux.</t>
  </si>
  <si>
    <t>TRD
(01/10/2019)</t>
  </si>
  <si>
    <t>021/2019
(id. 0063981)</t>
  </si>
  <si>
    <t>0002351-83.2019.4.90.8000</t>
  </si>
  <si>
    <t>SERVIÇO FEDERAL DE PROCESSAMENTO DE DADOS - SERPRO</t>
  </si>
  <si>
    <t>Prestação de serviços de tecnologia da informação e de gerenciamento de conexões à rede INFOVIA Brasília.</t>
  </si>
  <si>
    <t>A partir da data de 1º/11/2019</t>
  </si>
  <si>
    <t>ID. 0330708</t>
  </si>
  <si>
    <t>Portaria n. 529/2023
(id. 0488426)</t>
  </si>
  <si>
    <t>023/2019
(id. 0070177)</t>
  </si>
  <si>
    <t>0001733-07.2019.4.90.8000</t>
  </si>
  <si>
    <t>TECNISYS INFORMÁTICA E ASSESSORIA EMPRESARIAL LTDA</t>
  </si>
  <si>
    <t>Subscrição e suporte técnico para os softwares Suse Manager Server, Suse Manager Monitoring e Suse Manager Lifecycle Enterprise Application Platform with Management.</t>
  </si>
  <si>
    <t>TRD
(25/10/2019)</t>
  </si>
  <si>
    <t>024/2019
(id. 0071336)</t>
  </si>
  <si>
    <t>0002456-51.2019.4.90.8000</t>
  </si>
  <si>
    <t>LTA-RH INFORMÁTICA</t>
  </si>
  <si>
    <t>Solução de infraestrutura computacional hiperconvergente, com armazenamento distribuído definido por software e respectivo licenciamento de softwares de gerenciamento de nuvem privada, virtualização de servidores de rede e de segurança.</t>
  </si>
  <si>
    <t>TRD
(id. 0089725)
(26/12/2019)</t>
  </si>
  <si>
    <t>Vigente</t>
  </si>
  <si>
    <t>Portaria n. 690/2023
(id. 0515757)</t>
  </si>
  <si>
    <t>025/2019
(id. 0071892)</t>
  </si>
  <si>
    <t>0000077-17.2019.4.90.8000</t>
  </si>
  <si>
    <t>MICROSENS S/A</t>
  </si>
  <si>
    <t>3 (três) conjuntos de vídeo wall</t>
  </si>
  <si>
    <t>TRD
(id. 0088488)
(20/12/2019)</t>
  </si>
  <si>
    <t>029/2019
(id. 0081441)</t>
  </si>
  <si>
    <t>0002279-11.2019.4.90.8000</t>
  </si>
  <si>
    <t>MTEL SOLUÇÕES S.A</t>
  </si>
  <si>
    <t>Solução de infraestrutura de rede de comunicação de dados. Ativos de rede.</t>
  </si>
  <si>
    <t>TRD 2
(ID. 0120504)
(13/05/2020)</t>
  </si>
  <si>
    <t>Portaria n. 555/2025
(id. 0760807)</t>
  </si>
  <si>
    <t>031/2019
(id. 0082001)</t>
  </si>
  <si>
    <t>0004374-87.2019.4.90.8000</t>
  </si>
  <si>
    <t>DIRAC</t>
  </si>
  <si>
    <t>LENOVO COMERCIAL E DISTRIBUIÇÃO LTDA</t>
  </si>
  <si>
    <t>Fornecimento de microcomputador desktop tipo I</t>
  </si>
  <si>
    <t>TRD
(id. 0087063)
(27/12/2019)</t>
  </si>
  <si>
    <t>Portaria n. 655/2019
(id. 0086293 fl. 3)</t>
  </si>
  <si>
    <t>032/2019
(id. 0082005)</t>
  </si>
  <si>
    <t>LTA-RH INFORMÁTICA COMÉRCIO, REPRESENTAÇÕES LTDA</t>
  </si>
  <si>
    <t>Fornecimento de microcomputador desktop tipo II, workstation, microcomputador portátil e monitor de vídeo.</t>
  </si>
  <si>
    <t>TRD
(id. 0087061)
(26/12/2019)</t>
  </si>
  <si>
    <t>Portaria n. 459/2020
(id. 0155254)</t>
  </si>
  <si>
    <t>Contratos da STI - 2020</t>
  </si>
  <si>
    <t>002/2020
(id. 0103460)</t>
  </si>
  <si>
    <t>0001453-54.2019.4.90.8000</t>
  </si>
  <si>
    <t>DIDIA</t>
  </si>
  <si>
    <t>ALGAR TI CONSULTORIA
S/A</t>
  </si>
  <si>
    <t>Prestação continuada dos serviços de técnico de sustentação do ambiente de TI.</t>
  </si>
  <si>
    <t>Início da prestação dos serviços.</t>
  </si>
  <si>
    <t>ID. 0384926</t>
  </si>
  <si>
    <t>Portaria n. 353/2022
(id. 0356846)</t>
  </si>
  <si>
    <t>008/2020
(id. 0116802)</t>
  </si>
  <si>
    <t>0001989-89.2019.4.90.8000</t>
  </si>
  <si>
    <t>SUSTI</t>
  </si>
  <si>
    <t>ISH TECNOLOGIA S.A</t>
  </si>
  <si>
    <t>Serviços Gerenciados de Segurança da Informação para o CJF.</t>
  </si>
  <si>
    <t>Termo aditivo IV T.A. 
(0721793)</t>
  </si>
  <si>
    <t>Portaria n. 704/2023
(id. 0515666)</t>
  </si>
  <si>
    <t>010/2020
(id. 0117320)</t>
  </si>
  <si>
    <t>0006161-44.2019.4.90.8000</t>
  </si>
  <si>
    <t>SAD</t>
  </si>
  <si>
    <t>SEAL TELECOM COMÉRCIO E SERVIÇOS DE TELECOMUNICAÇÕES LTDA</t>
  </si>
  <si>
    <r>
      <t> Serviços de suporte técnico e garantia, bem como a atualização de </t>
    </r>
    <r>
      <rPr>
        <i/>
        <sz val="12"/>
        <rFont val="Times New Roman"/>
        <family val="1"/>
      </rPr>
      <t>software</t>
    </r>
    <r>
      <rPr>
        <sz val="12"/>
        <rFont val="Times New Roman"/>
        <family val="1"/>
      </rPr>
      <t>, para o sistema de Telefonia IP (Avaya).</t>
    </r>
  </si>
  <si>
    <t>ID. 0395478</t>
  </si>
  <si>
    <t>Portaria n. 572/2025
(id. 0761976)</t>
  </si>
  <si>
    <t>012/2020
(id. 0124325)</t>
  </si>
  <si>
    <t>0005034-55.2019.4.90.8000</t>
  </si>
  <si>
    <t>BRASOFTWARE INFORMÁTICA LTDA</t>
  </si>
  <si>
    <t>Licenças de subscrição a serem fornecidas serão de produtos Microsoft, na modalidade “Enterprise Agreement Subscription – EAS”.</t>
  </si>
  <si>
    <t>TRD
(01/07/2022)</t>
  </si>
  <si>
    <t>Portaria n. 365/2022
(id. 0358077)</t>
  </si>
  <si>
    <t>014/2020
(id. 0136528)</t>
  </si>
  <si>
    <t>0005871-10.2019.4.90.8000</t>
  </si>
  <si>
    <t>SERVIÇO FEDERAL DE PROCESSAMENTO DE DADOS SERPRO</t>
  </si>
  <si>
    <t>Prestador de Serviços de Suporte – PSS, para a Autoridade Certificadora da Justiça – AC-JUS.</t>
  </si>
  <si>
    <t>de 18/7/2020 a 17/7/2025</t>
  </si>
  <si>
    <t>Portaria n. 009/2025
(id. 0670480)</t>
  </si>
  <si>
    <t>016/2020
(id. 0150962)</t>
  </si>
  <si>
    <t>0001959-14.2020.4.90.8000</t>
  </si>
  <si>
    <t>RD TELECOM LTDA</t>
  </si>
  <si>
    <t>Serviço de proteção contra ataques distribuídos de negação de serviço (anti-DDoS).</t>
  </si>
  <si>
    <t>Da emissão da OS</t>
  </si>
  <si>
    <t>ID. 0539901</t>
  </si>
  <si>
    <t>Portaria n. 563/2025
(id. 0761241)</t>
  </si>
  <si>
    <t>017/2020
(id. 0150965)</t>
  </si>
  <si>
    <t>NETWORLD TELECOMUNICAÇÕES DO BRASIL LTDA</t>
  </si>
  <si>
    <t>ID. 0539908</t>
  </si>
  <si>
    <t>019/2020
(id. 0153273)</t>
  </si>
  <si>
    <t xml:space="preserve">0002017-36.2020.4.90.8000 </t>
  </si>
  <si>
    <t>ASCOM</t>
  </si>
  <si>
    <t>MCR SISTEMAS E CONSULTORIA LTDA</t>
  </si>
  <si>
    <t>Licenças de uso dos aplicativos do pacote Adobe Creative Cloud.</t>
  </si>
  <si>
    <t>TRD
(08/10/2020)</t>
  </si>
  <si>
    <t>021/2020
(id. 0161132)</t>
  </si>
  <si>
    <t>0002981-28.2020.4.90.8000</t>
  </si>
  <si>
    <t>STI</t>
  </si>
  <si>
    <t>GARTNER DO BRASIL SERVIÇOS DE PESQUISA LTDA</t>
  </si>
  <si>
    <t>Serviços técnicos especializados de pesquisa e aconselhamento imparcial em TI.</t>
  </si>
  <si>
    <t>TRD
(06/11/2020)</t>
  </si>
  <si>
    <t>025/2020
(id. 0168296)</t>
  </si>
  <si>
    <t>0003242-26.2020.4.90.8000</t>
  </si>
  <si>
    <t>SX TECNOLOGIA E SERVIÇOS CORPORATIVOS EIRELI</t>
  </si>
  <si>
    <r>
      <t>5 (cinco) subscrições da solução de videoconferência </t>
    </r>
    <r>
      <rPr>
        <i/>
        <sz val="12"/>
        <rFont val="Times New Roman"/>
        <family val="1"/>
      </rPr>
      <t>ZOOM meeting Professional.</t>
    </r>
  </si>
  <si>
    <t>TRD
(16/11/2020)</t>
  </si>
  <si>
    <t>026/2020
(id. 0171294)</t>
  </si>
  <si>
    <t>0005709-93.2019.4.90.8000</t>
  </si>
  <si>
    <t>SGO</t>
  </si>
  <si>
    <t>Licenças de uso de softwares utilizados na SGO.</t>
  </si>
  <si>
    <t>028/2020
(id. 0183090)</t>
  </si>
  <si>
    <t>0001995-70.2020.4.90.8000</t>
  </si>
  <si>
    <t>EMPRESA DE TECNOLOGIA E INFORMAÇÕES DA PREVIDÊNCIA - DATAPREV</t>
  </si>
  <si>
    <r>
      <t xml:space="preserve">Serviço de distribuição de informações de cadastro na tecnologia </t>
    </r>
    <r>
      <rPr>
        <i/>
        <sz val="11"/>
        <rFont val="Times New Roman"/>
        <family val="1"/>
      </rPr>
      <t>Blockchain</t>
    </r>
    <r>
      <rPr>
        <sz val="11"/>
        <rFont val="Times New Roman"/>
        <family val="1"/>
      </rPr>
      <t xml:space="preserve"> como Serviço – BcaaS. B-CNPJ</t>
    </r>
  </si>
  <si>
    <t>TRD
(13/04/2021)</t>
  </si>
  <si>
    <t>Portaria n. 872/2023
(id. 0538973)</t>
  </si>
  <si>
    <t>029/2020
(id. 0185430)</t>
  </si>
  <si>
    <t>0000556-59.2020.4.90.8000</t>
  </si>
  <si>
    <t>ALGAR MULTIMÍDIA S/A</t>
  </si>
  <si>
    <t>Prestação de serviços de comunicação de dados (internet e MPLS).</t>
  </si>
  <si>
    <t>TRD
(24/05/2021)</t>
  </si>
  <si>
    <t>ID. 0524754</t>
  </si>
  <si>
    <t>Portaria n. 562/2025
(id. 0761235)</t>
  </si>
  <si>
    <t>031/2020
(id. 0182470)</t>
  </si>
  <si>
    <t>0003606-13.2020.4.90.8000</t>
  </si>
  <si>
    <t>ORACLE DO BRASIL SISTEMAS LTDA</t>
  </si>
  <si>
    <t>Prestação de serviços de suporte especializado ao produto (“Product Support”) e atualização de versão de software (“Software Updates”).</t>
  </si>
  <si>
    <t>ID. 0655671</t>
  </si>
  <si>
    <t>Portaria n. 026/2024
(id. 0542565)</t>
  </si>
  <si>
    <t>Contratos da STI -  2021</t>
  </si>
  <si>
    <t>011/2021
(id. 0181346)</t>
  </si>
  <si>
    <t>0000843-22.2020.4.90.8000</t>
  </si>
  <si>
    <t>NCT Informática LTDA</t>
  </si>
  <si>
    <t>Solução de segurança da informação do Conselho da Justiça Federal – CJF para proteção da Nuvem Privada da Justiça Federal - NUJUFE.</t>
  </si>
  <si>
    <t>TRD
(08/09/2021)</t>
  </si>
  <si>
    <t>Portaria n. 738/2023
(id. 0519696)</t>
  </si>
  <si>
    <t>012/2021
(id. 0181455)</t>
  </si>
  <si>
    <t>013/2021
(id. 0181768)</t>
  </si>
  <si>
    <t>Alltech Soluções em Tecnologia Ltda</t>
  </si>
  <si>
    <t>TRD
(09/08/2021)</t>
  </si>
  <si>
    <t>016/2021
(id. 0217564)</t>
  </si>
  <si>
    <t>0002509-40.2020.4.90.8000</t>
  </si>
  <si>
    <t>MEMORA PROCESSOS INOVADORES S.A</t>
  </si>
  <si>
    <t>Fornecimento de licenças de software de virtualização de estações de trabalho (Horizon 7 Enterprise – CCU).</t>
  </si>
  <si>
    <t>TRD
(27/05/2021)</t>
  </si>
  <si>
    <t>Portaria n. 179/2021
(id. 0220444)</t>
  </si>
  <si>
    <t>017/2021
(id. 0227420)</t>
  </si>
  <si>
    <t>0002872-74.2020.4.90.8000</t>
  </si>
  <si>
    <t>SGP</t>
  </si>
  <si>
    <t>AOVS Sistemas de Informática S.A.</t>
  </si>
  <si>
    <r>
      <t>Ação de educação por meio de assinatura de treinamento na modalidade Educação a Distância da empresa </t>
    </r>
    <r>
      <rPr>
        <sz val="12"/>
        <rFont val="Times New Roman"/>
        <family val="1"/>
      </rPr>
      <t>AOVS.</t>
    </r>
  </si>
  <si>
    <t>Portaria n. 276/2021
(id. 0229195)</t>
  </si>
  <si>
    <t>020/2021
(id. 0240767)</t>
  </si>
  <si>
    <t>0000378-56.2021.4.90.8000</t>
  </si>
  <si>
    <t>SATURNO SOFTWARE E SISTEMAS LTDA</t>
  </si>
  <si>
    <t>Aquisição de 5 (cinco) subscrições da solução de videoconferência ZOOM meeting.</t>
  </si>
  <si>
    <t>TRD
(30/07/2021)</t>
  </si>
  <si>
    <t>Portaria n. 553/2021
(id. 0282288)</t>
  </si>
  <si>
    <t>021/2021
(id. 0238065)</t>
  </si>
  <si>
    <t xml:space="preserve">0003178-74.2020.4.90.8000 </t>
  </si>
  <si>
    <t>AR RP CERTIFICAÇÃO DIGITAL EIRELI</t>
  </si>
  <si>
    <t xml:space="preserve"> Emissão de certificados digitais, do tipo A3, padrão Cert-JUS.</t>
  </si>
  <si>
    <t>Portaria n. 51/2024
(id. 0545219)</t>
  </si>
  <si>
    <t>022/2021
(id. 0242876)</t>
  </si>
  <si>
    <t>0003178-74.2020.4.90.8000</t>
  </si>
  <si>
    <t>CERTISIGN CERTIFICADORA DIGITAL S.A.</t>
  </si>
  <si>
    <t>Certificados digitais, do tipo A1, padrão Internacional.</t>
  </si>
  <si>
    <t>025/2021
(id. 0263353)</t>
  </si>
  <si>
    <t xml:space="preserve">0004108-15.2020.4.90.8000 </t>
  </si>
  <si>
    <t>ORION TELECOMUNICAÇÕES, ENGENHARIA S/A</t>
  </si>
  <si>
    <t>Assistência técnica para equipamentos pertencentes à solução do ambiente físico seguro e seus subsistemas, do tipo Sala-Cofre Modular.</t>
  </si>
  <si>
    <t>ID. 0558273</t>
  </si>
  <si>
    <t>Sim</t>
  </si>
  <si>
    <t>Portaria n. 521/2023
(id. 0487733)</t>
  </si>
  <si>
    <t>026/2021
(id. 0249998)</t>
  </si>
  <si>
    <t>0004442-13.2020.4.90.8000</t>
  </si>
  <si>
    <t>SELBETTI GESTÃO DE DOCUMENTOS S.A.</t>
  </si>
  <si>
    <r>
      <rPr>
        <i/>
        <sz val="11"/>
        <rFont val="Times New Roman"/>
        <family val="1"/>
      </rPr>
      <t>Outsourcing</t>
    </r>
    <r>
      <rPr>
        <sz val="11"/>
        <rFont val="Times New Roman"/>
        <family val="1"/>
      </rPr>
      <t xml:space="preserve"> de impressão.</t>
    </r>
  </si>
  <si>
    <t>TRD
(06/11/2021)</t>
  </si>
  <si>
    <t>ID. 0563377</t>
  </si>
  <si>
    <t>Portaria n. 767/2023
(id. 0525044)</t>
  </si>
  <si>
    <t>033/2021
(id. 0262491)</t>
  </si>
  <si>
    <t>0000547-85.2021.4.90.8000</t>
  </si>
  <si>
    <t>Subscrição de software ZOOM Vídeo Webinar.</t>
  </si>
  <si>
    <t>TRD
(28/10/2021)</t>
  </si>
  <si>
    <t>Portaria n. 488/2021
(id. 0266301)</t>
  </si>
  <si>
    <t>035/2021
(id. 0271542)</t>
  </si>
  <si>
    <t>0000685-73.2021.4.90.8000</t>
  </si>
  <si>
    <t>VELTI SISTEMAS E EQUIPAMENTOS LTDA</t>
  </si>
  <si>
    <t>Versão vitalícia do VW Ponto para Velti Ponto.</t>
  </si>
  <si>
    <t>TRD
(24/02/2022)</t>
  </si>
  <si>
    <t>Portaria n. 25/2024
(id. 0542556)</t>
  </si>
  <si>
    <t>036/2021
(id. 0277364)</t>
  </si>
  <si>
    <t>Aquisição de 4 (quatro) subscrições da solução de videoconferência ZOOM meeting.</t>
  </si>
  <si>
    <t>TRD 
(02/12/2021)</t>
  </si>
  <si>
    <t>040/2021
(id. 0282629)</t>
  </si>
  <si>
    <t>0004099-90.2020.4.90.8000</t>
  </si>
  <si>
    <t>QUALIFICAR - GESTÃO TERCEIRIZADA DE SERVIÇOS CORPORATIVOS E
TECNOLOGIA EIRELI</t>
  </si>
  <si>
    <t>Serviços técnicos de operação de central de atendimento a usuários (Service Desk).</t>
  </si>
  <si>
    <t>TRD</t>
  </si>
  <si>
    <t>ID. 0645888</t>
  </si>
  <si>
    <t>Portaria n. 022/2024
(id. 0541753)</t>
  </si>
  <si>
    <t>045/2021
(id. 0294971)</t>
  </si>
  <si>
    <t>0000261-45.2021.4.90.8000</t>
  </si>
  <si>
    <t>Serviços de manutenção corretiva e preventiva do equipamento Storage Netapp FAS-9000.</t>
  </si>
  <si>
    <t>TRD
(29/03/2022)</t>
  </si>
  <si>
    <t>Portaria n. 557/2025
(id. 0760893)</t>
  </si>
  <si>
    <t>050/2021
(id. 0296077)</t>
  </si>
  <si>
    <t>0004481-11.2020.4.90.8000</t>
  </si>
  <si>
    <t>ARVVO Tecnologia, Consultoria e Serviços Ltda</t>
  </si>
  <si>
    <t>Gerenciamento de Acesso Privilegiado (Privileged Access Management - PAM)</t>
  </si>
  <si>
    <t>TRD
(21/03/2022)</t>
  </si>
  <si>
    <t>Portaria n. 730/2023
(id. 0519685)</t>
  </si>
  <si>
    <t>Contratos da STI - 2022</t>
  </si>
  <si>
    <t>003/2022
(id. 0323247)</t>
  </si>
  <si>
    <t>0002070-18.2021.4.90.8000</t>
  </si>
  <si>
    <t>UNIVERSO DA SEGURANÇA COMÉRCIO E
SERVIÇOS EIRELI</t>
  </si>
  <si>
    <t>Prestação de serviço de manutenção preventiva e corretiva dos relógios biométricos Henry Primme SF Ponto Bio.</t>
  </si>
  <si>
    <t>Portaria n. 621-CJF
(id. 0397927)</t>
  </si>
  <si>
    <t>004/2022
(id. 0328619)</t>
  </si>
  <si>
    <t>0003522-71.2020.4.90.8000</t>
  </si>
  <si>
    <t>SUSOF</t>
  </si>
  <si>
    <t>TECNETWORKING SERVIÇOS E SOLUÇÕES EM TECNOLOGIA DA INFORMAÇÃO LTDA</t>
  </si>
  <si>
    <t>Subscrição de Ferramenta de Gerenciamento de Ciclo de Vida de Software GitLab versão Ultimate.</t>
  </si>
  <si>
    <t>TRD (16/05/2022)</t>
  </si>
  <si>
    <t>Portaria n. 202/2022
(id. 0336019)</t>
  </si>
  <si>
    <t>012/2022
(id. 0340282)</t>
  </si>
  <si>
    <t>0003672-01.2020.4.90.8000</t>
  </si>
  <si>
    <t>LINK DATA INFORMÁTICA E SERVIÇOS S/A</t>
  </si>
  <si>
    <t>Suporte técnico, ajustes, atualização, apoio à migração, capacitação, evolução e manutenção do Software de Gestão Automation System of Inventory - ASIWEB, composto pelos sistemas de Almoxarifado e Patrimônio.</t>
  </si>
  <si>
    <t>ID. 0571973</t>
  </si>
  <si>
    <t>Portaria n. 864/2023
(id. 0538884)</t>
  </si>
  <si>
    <t>017/2022
(id. 0360580)</t>
  </si>
  <si>
    <t>0001057-91.2022.4.04.8000</t>
  </si>
  <si>
    <t>XP ON CONSULTORIA LTDA</t>
  </si>
  <si>
    <t>Plataforma Zoom Meetings e Plataforma Zoom Events.</t>
  </si>
  <si>
    <t>Portaria n. 87/2023
(id. 0549556)</t>
  </si>
  <si>
    <t>019/2022
(id. 0370794)</t>
  </si>
  <si>
    <t>0002285-20.2021.4.90.8000</t>
  </si>
  <si>
    <t>Serviços de comunicação de dados para conexão da rede do CJF à Internet com saída pelo STJ.</t>
  </si>
  <si>
    <t>TRD
(30/09/2022)</t>
  </si>
  <si>
    <t>ID. 0815219</t>
  </si>
  <si>
    <t>Portaria n. 565/2025
(id. 0761262)</t>
  </si>
  <si>
    <t>021/2022
(id. 0390861)</t>
  </si>
  <si>
    <t>0003517-11.2020.4.90.8000</t>
  </si>
  <si>
    <t>SUPORTE INFORMÁTICA SOLUÇÕES LTDA</t>
  </si>
  <si>
    <t>Empresa especializada para o fornecimento de subscrições de software corporativo de código aberto do tipo plataforma de contêineres, sistemas operacionais e servidores de aplicação da RedHat.</t>
  </si>
  <si>
    <t>ID. 0410656</t>
  </si>
  <si>
    <t>Portaria n. 826/2023
(id. 0532397)</t>
  </si>
  <si>
    <t>022/2022
(id. 0386582)</t>
  </si>
  <si>
    <t>0001159-11.2021.4.90.8000</t>
  </si>
  <si>
    <t>O3S CONSULTORIA E TECNOLOGIA DA INFORMACAO LTDA</t>
  </si>
  <si>
    <t>Subscrição de serviço de suporte prioritário do sistema operacional SUSE Linux e da ferramenta de gerenciamento centralizado SUSE Manager.</t>
  </si>
  <si>
    <t>TRD
(29/12/2022)</t>
  </si>
  <si>
    <t>Portaria n. 858/2023
(id. 0537688)</t>
  </si>
  <si>
    <t>028/2022
(id. 0401674)</t>
  </si>
  <si>
    <t>0003775-25.2021.4.90.8000</t>
  </si>
  <si>
    <t>ASSOCIAÇÃO PARANAENSE DE CULTURA PONTÍFICA UNIVERSIDADE CATÓLICA DO PARANÁ (APC)</t>
  </si>
  <si>
    <t>Suporte técnico mensal, com atualização e manutenção preventiva, corretiva, evolutiva e adaptativa, de migração e integração e de treinamento para o software Pergamum.</t>
  </si>
  <si>
    <t>ID. 0628365</t>
  </si>
  <si>
    <t>Portaria n. 085/2023
(id. 0427842)</t>
  </si>
  <si>
    <t>029/2022
(id. 0404725)</t>
  </si>
  <si>
    <t>0001191-79.2022.4.90.8000</t>
  </si>
  <si>
    <t>SG/CEREVI</t>
  </si>
  <si>
    <t>INSTITUTO ANTÔNIO HOUAISS DE LEXICOGRAFIA E BANCO DE DADOS DA LÍNGUA
PORTUGUESA S/C LTDA</t>
  </si>
  <si>
    <t xml:space="preserve"> Contratação de software como serviços da licença Dicionário Houaiss Corporativo.</t>
  </si>
  <si>
    <t>Portaria n. 416/2024
(id. 0604246)</t>
  </si>
  <si>
    <t>030/2022
(id. 0405074)</t>
  </si>
  <si>
    <t xml:space="preserve">0003812-12.2021.4.90.8000 </t>
  </si>
  <si>
    <t>CONNECTCOM TELEINFORMÁTICA COMÉRCIO E SERVIÇOS LTDA</t>
  </si>
  <si>
    <t>Contratação de empresa especializada para a prestação do serviço técnico de sustentação do ambiente de infraestrutura de TI.</t>
  </si>
  <si>
    <t>TRD
(17/02/2023)</t>
  </si>
  <si>
    <t>ID 0711174</t>
  </si>
  <si>
    <t>Portaria n. 681/2025
(id. 0783965)</t>
  </si>
  <si>
    <t>Contratos da STI - 2023</t>
  </si>
  <si>
    <t>Número do Contrato</t>
  </si>
  <si>
    <t>009/2023
(id. 0422496)</t>
  </si>
  <si>
    <t>0000348-58.2022.4.90.8000</t>
  </si>
  <si>
    <t>DELL COMPUTADORES DO BRASIL LTDA.</t>
  </si>
  <si>
    <t>Contratação de empresa especializada em extensão de garantia do fabricante, serviços de atualização e suporte técnico do equipamento appliance Dell DD6800 e seus componentes.</t>
  </si>
  <si>
    <t>TRD
(24/03/2023)</t>
  </si>
  <si>
    <t>Portaria CJF N. 604/2023
(id. 0502127)</t>
  </si>
  <si>
    <t>010/2023
(id. 0421267)</t>
  </si>
  <si>
    <t xml:space="preserve">0000615-88.2022.4.90.8000 </t>
  </si>
  <si>
    <t>NCT INFORMÁTICA LTDA</t>
  </si>
  <si>
    <t>Contratação de extensão de garantia, serviços de atualização e suporte técnico, manutenção corretiva e preventiva das soluções de segurança de perímetro (equipamentos Fortinet - FortiWeb e FortiGate).</t>
  </si>
  <si>
    <t>TRD
(06/03/2023)</t>
  </si>
  <si>
    <t>Portaria CJF N. 738/2023
(id. 0520387)</t>
  </si>
  <si>
    <t>019/2023
(id. 0465117)</t>
  </si>
  <si>
    <t>0003441-13.2022.4.90.8000</t>
  </si>
  <si>
    <t>BRASOFTWARE INFORMATICA LTDA</t>
  </si>
  <si>
    <t>Contratação de subscrições da Microsoft.</t>
  </si>
  <si>
    <t>ID. 0571021</t>
  </si>
  <si>
    <t>Portaria CJF N. 770/2023
(id. 0525051)</t>
  </si>
  <si>
    <t>020/2023
(id. 0472099)</t>
  </si>
  <si>
    <t>0004136-11.2022.4.90.8000</t>
  </si>
  <si>
    <t>Contratação de subscrição de ferramenta de gerenciamento de ciclo de vida de software GitLab Ultimate.</t>
  </si>
  <si>
    <t>ID. 0730902</t>
  </si>
  <si>
    <t>Portaria CJF N. 415/2023
(id. 0477482)</t>
  </si>
  <si>
    <t>021/2023
(id. 0472859)</t>
  </si>
  <si>
    <t>Contratação de empresa especializada para o fornecimento de subscrições de software corporativo de código aberto do tipo plataforma de contêineres, sistemas operacionais e servidores de aplicação da RedHat.</t>
  </si>
  <si>
    <t>36 meses
(itens 1, 4 e 6)
12 meses
(itens 9 e 11)</t>
  </si>
  <si>
    <t>Termo aditivo II T.A. (0739880)</t>
  </si>
  <si>
    <t>09/07/2026
(itens 1, 4 e 6)
09/07/2026
(item 11)</t>
  </si>
  <si>
    <t>Portaria CJF N. 584/2025
(id. 0765267)</t>
  </si>
  <si>
    <t>022/2023
(id. 0498012)</t>
  </si>
  <si>
    <t>0001410-19.2023.4.90.8000</t>
  </si>
  <si>
    <t>HEWLETT-PACKARD BRASIL LTDA</t>
  </si>
  <si>
    <t>Prestação do serviço de suporte técnico dos servidores de rede em lâmina (tipo blade).</t>
  </si>
  <si>
    <t>Portaria CJF N. 558/2025
(id. 0760911)</t>
  </si>
  <si>
    <t>029/2023
(id. 0506149)</t>
  </si>
  <si>
    <t>0001275-39.2023.4.90.8000</t>
  </si>
  <si>
    <t>Contratação de licenças de softwares de Design Gráfico - Adobe Creative Cloud.</t>
  </si>
  <si>
    <t>Portaria CJF N. 18/2026
(id. 0814797)</t>
  </si>
  <si>
    <t>031/2023
(id. 0522104)</t>
  </si>
  <si>
    <t>0002477-80.2023.4.90.8000</t>
  </si>
  <si>
    <t>Contratação de licenças de softwares de Design Gráfico - AutoDesk AEC.</t>
  </si>
  <si>
    <t>Portaria CJF N. 797/2023
(id. 0528114)</t>
  </si>
  <si>
    <t>032/2023
(id. 0533201)</t>
  </si>
  <si>
    <t xml:space="preserve">0003989-73.2022.4.90.8000 </t>
  </si>
  <si>
    <t>SEG</t>
  </si>
  <si>
    <t>DNA TECNOLOGIA LTDA</t>
  </si>
  <si>
    <t>Desenvolvimento do novo Portal CJF.</t>
  </si>
  <si>
    <t>Prorrogável independente de TA, caso objeto não concluído.</t>
  </si>
  <si>
    <t>Portaria CJF N. 019/2024
(id. 0541278)</t>
  </si>
  <si>
    <t>033/2023
(id. 0537214)</t>
  </si>
  <si>
    <t xml:space="preserve">0000179-46.2023.4.90.8000 </t>
  </si>
  <si>
    <t>TORINO INFORMÁTICA LTDA</t>
  </si>
  <si>
    <t>Aquisição de computadores do tipo Workstation.</t>
  </si>
  <si>
    <t>TRD
(08/04/2024)</t>
  </si>
  <si>
    <t>Portaria CJF N. 006/2024
(id. 0540358)</t>
  </si>
  <si>
    <t>Contratos da STI - 2024</t>
  </si>
  <si>
    <t>Fim da Vigência</t>
  </si>
  <si>
    <t>006/2024
(id. 0558348)</t>
  </si>
  <si>
    <t>0000959-12.2023.4.90.8000</t>
  </si>
  <si>
    <t xml:space="preserve"> Ampliação da solução de armazenamento principal NETAPP FAS9000 do CJF.</t>
  </si>
  <si>
    <t>TRD
(10/05/2024)</t>
  </si>
  <si>
    <t>Portaria CJF N. 153/2024
(id. 0560427)</t>
  </si>
  <si>
    <t>007/2024
(id. 0559726)</t>
  </si>
  <si>
    <t>0000958-23.2023.4.90.8000</t>
  </si>
  <si>
    <t>ARVVO TECNOLOGIA, CONSULTORIA E SERVICOS LTDA</t>
  </si>
  <si>
    <t>Aquisição de solução de backup de dados contemplando a subscrição de licenciamento de software e o fornecimento de equipamento(s), serviços de instalação e configuração, transferência de conhecimento, suporte técnico e garantia.</t>
  </si>
  <si>
    <t>TRD
(06/06/2024)</t>
  </si>
  <si>
    <t>Portaria CJF N. 158/2024
(id. 0562217)</t>
  </si>
  <si>
    <t>014/2024
(id. 0565666)</t>
  </si>
  <si>
    <t>0001703-88.2023.4.90.8000</t>
  </si>
  <si>
    <t>BLUE EYE SOLUÇÕES EM TECNOLOGIA LTDA</t>
  </si>
  <si>
    <t>Solução de segurança para proteção de estações de trabalho, Data Center, e-mail corporativo e aplicativos Microsoft 365 - Endpoint.</t>
  </si>
  <si>
    <t>Portaria CJF N. 174/2024
(id. 0566632)</t>
  </si>
  <si>
    <t>025/2024
(id. 0604841)</t>
  </si>
  <si>
    <t>0002841-35.2023.4.05.7000</t>
  </si>
  <si>
    <t>AMM TECNOLOGIA E SERVIÇOS DE INFORMATICA S/A</t>
  </si>
  <si>
    <t>Subscrições de suporte e garantia para solução de virtualizaçãoVmWare</t>
  </si>
  <si>
    <t>Portaria CJF n. 586/2025
(id. 0765358)</t>
  </si>
  <si>
    <t>026/2024
(id. 0612432)</t>
  </si>
  <si>
    <t>0001880-82.2023.4.90.8000</t>
  </si>
  <si>
    <t>CYBER WAN TECNOLOGIA LTDA</t>
  </si>
  <si>
    <r>
      <rPr>
        <sz val="11"/>
        <color rgb="FF000000"/>
        <rFont val="Times New Roman"/>
      </rPr>
      <t xml:space="preserve">Subscrição e na renovação da subscrição de licenças do </t>
    </r>
    <r>
      <rPr>
        <i/>
        <sz val="11"/>
        <color rgb="FF000000"/>
        <rFont val="Times New Roman"/>
      </rPr>
      <t>software</t>
    </r>
    <r>
      <rPr>
        <sz val="11"/>
        <color rgb="FF000000"/>
        <rFont val="Times New Roman"/>
      </rPr>
      <t xml:space="preserve"> PHPStorm.</t>
    </r>
  </si>
  <si>
    <t>Portaria CJF n. 465/2024
(id. 0616121)</t>
  </si>
  <si>
    <t>027/2024
(id. 0612433)</t>
  </si>
  <si>
    <t>Subscrição do pacote de aplicativos Jetbrains - All Products Pack.</t>
  </si>
  <si>
    <t>031/2024
(id. 0642388)</t>
  </si>
  <si>
    <t>0000985-13.2024.4.90.8000</t>
  </si>
  <si>
    <t>DATAPREV</t>
  </si>
  <si>
    <t>b-CPF</t>
  </si>
  <si>
    <t>Portaria CJF n. 736/2024
(id. 0647419)</t>
  </si>
  <si>
    <t>033/2024
(id. 0648538)</t>
  </si>
  <si>
    <t>0001068-00.2024.4.90.8000</t>
  </si>
  <si>
    <t>SERPRO</t>
  </si>
  <si>
    <t>Infovia Brasília</t>
  </si>
  <si>
    <t>Portaria CJF n. 685/2025
(id. 0784695)</t>
  </si>
  <si>
    <t>034/2024
(id. 0650968)</t>
  </si>
  <si>
    <t>0001899-18.2024.4.90.8000</t>
  </si>
  <si>
    <t>SPO</t>
  </si>
  <si>
    <t>Certificados digitais (e-CPF) tipo A3 em nuvem</t>
  </si>
  <si>
    <t>1° T.A</t>
  </si>
  <si>
    <t>Portaria CJF n. 793/2024
(id. 0657806)</t>
  </si>
  <si>
    <t>036/2024
(id. 0649890)</t>
  </si>
  <si>
    <t>0000108-70.2024.4.90.8000</t>
  </si>
  <si>
    <t>TOTALCAD COMÉRCIO E SERVIÇOS TECNOLÓGICOS LTDA</t>
  </si>
  <si>
    <r>
      <rPr>
        <i/>
        <sz val="11"/>
        <rFont val="Times New Roman"/>
        <family val="1"/>
      </rPr>
      <t>Software</t>
    </r>
    <r>
      <rPr>
        <sz val="11"/>
        <rFont val="Times New Roman"/>
        <family val="1"/>
      </rPr>
      <t xml:space="preserve"> Enscape</t>
    </r>
  </si>
  <si>
    <t>Portaria CJF n. 779/2024
(id. 0655423)</t>
  </si>
  <si>
    <t>037/2024
(id. 0652214)</t>
  </si>
  <si>
    <t>0001741-11.2024.4.05.7000</t>
  </si>
  <si>
    <t>BB TECNOLOGIA E SERVIÇOS S/A</t>
  </si>
  <si>
    <r>
      <rPr>
        <sz val="11"/>
        <color rgb="FF000000"/>
        <rFont val="Times New Roman"/>
      </rPr>
      <t>Licenças de software </t>
    </r>
    <r>
      <rPr>
        <i/>
        <sz val="12"/>
        <color rgb="FF000000"/>
        <rFont val="Times New Roman"/>
      </rPr>
      <t>mysql enterprise edition</t>
    </r>
  </si>
  <si>
    <t>Portaria CJF n. 847/2024
(id. 0666855)</t>
  </si>
  <si>
    <t>038/2024
(id. 0654742)</t>
  </si>
  <si>
    <t>0002326-94.2024.4.90.8000</t>
  </si>
  <si>
    <t>AMM TECNOLOGIA E SERVIÇOS DE INFORMÁTICA S.A.</t>
  </si>
  <si>
    <t>Subscrição dos softwares de virtualização de servidores, redes e de armazenamento do fabricante VMWARE.</t>
  </si>
  <si>
    <t>Portaria CJF n. 554/2025
(id. 0760776)</t>
  </si>
  <si>
    <t>039/2024
(id. 0658637)</t>
  </si>
  <si>
    <t>0002954-70.2024.4.01.8000</t>
  </si>
  <si>
    <t>TORINO INFORMÁTICA</t>
  </si>
  <si>
    <t>Monitores e assistência técnica</t>
  </si>
  <si>
    <t>Portaria CJF n. 848/2024
(id. 0666941)</t>
  </si>
  <si>
    <t>043/2024
(id. 0668118)</t>
  </si>
  <si>
    <t>0000402-72.2024.4.90.8000</t>
  </si>
  <si>
    <t>Gestão Material e Patrimonial do Conselho da CJF</t>
  </si>
  <si>
    <t>Automaticamente prorrogado se seu objeto não for concluído no período firmado no contrato.</t>
  </si>
  <si>
    <t>Portaria CJF n. 035/2025
(id. 0672618)</t>
  </si>
  <si>
    <t>020/2023
(0472099)</t>
  </si>
  <si>
    <t>Contratos da STI - 2025</t>
  </si>
  <si>
    <t>Considera para o PE-CJF - Indicador 19 - Índice de contratações conjuntas de soluções de TI com a participação de ao menos 3 órgãos da Justiça Federal (CCTI)?</t>
  </si>
  <si>
    <t>Contrato CJF n. 001/2025
(0682958)</t>
  </si>
  <si>
    <t>0000503-33.2025.4.90.8000</t>
  </si>
  <si>
    <t>3L LTDA</t>
  </si>
  <si>
    <t>Licenças do software Orçafascio</t>
  </si>
  <si>
    <t>1º T.A.</t>
  </si>
  <si>
    <t>VIGENTE</t>
  </si>
  <si>
    <t>Portaria 142
(0688016)</t>
  </si>
  <si>
    <t>Contrato CJF n.  032/2025
(id. 0755079)</t>
  </si>
  <si>
    <t>0004075-91.2024.4.90.8000</t>
  </si>
  <si>
    <t>ASSOCIAÇÃO PARANAENSE DE CULTURA – APC</t>
  </si>
  <si>
    <t xml:space="preserve">Suporte Técnico Software Pergamum </t>
  </si>
  <si>
    <t xml:space="preserve">Sim </t>
  </si>
  <si>
    <t>ARP  n.008/2025 (id. 0769125)</t>
  </si>
  <si>
    <t>0000919-34.2024.4.90.8000</t>
  </si>
  <si>
    <t>LAYER TECNOLOGIA DA INFORMATICA LTDA</t>
  </si>
  <si>
    <t>Solução tecnológica de Controlador de Entrega de Aplicações (Application Delivery Controller – ADC)</t>
  </si>
  <si>
    <t>Contrato n. 044/2025
(id. 0792780)</t>
  </si>
  <si>
    <t>Sim - CJF- Terceiro Trimestre</t>
  </si>
  <si>
    <t>TRD
Termo de Recebimento Definitivo
(30/12/2025)</t>
  </si>
  <si>
    <t>ARP n. 08/2025- TRF6 
(id. 0788009)</t>
  </si>
  <si>
    <t>0016370-67.2024.4.06.8000</t>
  </si>
  <si>
    <t>Telefônica Brasil S/A</t>
  </si>
  <si>
    <t xml:space="preserve">Aquisição de licenças de
software Microsoft com a finalidade de atender às necessidades de funcionamento da
infraestrutura. </t>
  </si>
  <si>
    <t>Sim. TRF6 - Quarto Trimestre</t>
  </si>
  <si>
    <t>PNCP</t>
  </si>
  <si>
    <t>ARP n. 11/2025- TRF6
(id. 0789147)</t>
  </si>
  <si>
    <t>0001982-28.2025.4.06.8000</t>
  </si>
  <si>
    <t>WISEIT - SISTEMAS E INFORMATICA LTDA</t>
  </si>
  <si>
    <t>Aquisição de switches fibre channel
- FC com a finalidade de atender às necessidades de funcionamento da rede SAN (Storage
Area Network</t>
  </si>
  <si>
    <t>Sim - TRF6 - Quarto Trimestre</t>
  </si>
  <si>
    <t>ARP n. 27/2025- TRF5
(id. 0795508)</t>
  </si>
  <si>
    <t>0000050-25.2025.4.05.7000</t>
  </si>
  <si>
    <t>BK TECNOLOGIA DA INFORMAÇÃO LTDA EPP</t>
  </si>
  <si>
    <t xml:space="preserve">Fornecimento de subscrição Elastic Cloud Enterprise, com suporte e garantia de atualização de versões. </t>
  </si>
  <si>
    <t>Sim - TRF5 - Quarto Trimestre</t>
  </si>
  <si>
    <t>Contrato CJF n. 034/2025 
(id. 0758500)</t>
  </si>
  <si>
    <t>0000921-59.2024.4.90.8000</t>
  </si>
  <si>
    <t>JAMC CONSULTORIA E REPRESENTACAO DE SOFTWARE LTDA</t>
  </si>
  <si>
    <r>
      <rPr>
        <sz val="12"/>
        <color rgb="FF000000"/>
        <rFont val="Times New Roman"/>
      </rPr>
      <t>Solução em modelo SaaS (</t>
    </r>
    <r>
      <rPr>
        <i/>
        <sz val="12"/>
        <color rgb="FF000000"/>
        <rFont val="Times New Roman"/>
      </rPr>
      <t>Software </t>
    </r>
    <r>
      <rPr>
        <sz val="12"/>
        <color rgb="FF000000"/>
        <rFont val="Times New Roman"/>
      </rPr>
      <t>como Serviço) para auditoria, monitoramento, proteção de dados, detecção e resposta a ameaças a metadados e dados não estruturados, além de análise de dados em repositórios corporativos internos (</t>
    </r>
    <r>
      <rPr>
        <i/>
        <sz val="12"/>
        <color rgb="FF000000"/>
        <rFont val="Times New Roman"/>
      </rPr>
      <t>on-premises</t>
    </r>
    <r>
      <rPr>
        <sz val="12"/>
        <color rgb="FF000000"/>
        <rFont val="Times New Roman"/>
      </rPr>
      <t>) ou em ambiente </t>
    </r>
    <r>
      <rPr>
        <i/>
        <sz val="12"/>
        <color rgb="FF000000"/>
        <rFont val="Times New Roman"/>
      </rPr>
      <t>cloud </t>
    </r>
    <r>
      <rPr>
        <sz val="12"/>
        <color rgb="FF000000"/>
        <rFont val="Times New Roman"/>
      </rPr>
      <t>(nuvem) em plataformas de colaboração. - VARONIS</t>
    </r>
  </si>
  <si>
    <t>STJ - Não</t>
  </si>
  <si>
    <t>Portaria 598
(0766979)</t>
  </si>
  <si>
    <t>Contrato CJF nº 45/2025 
(id. 0797176)</t>
  </si>
  <si>
    <t>0003580-19.2024.4.90.8000</t>
  </si>
  <si>
    <t>YSSY SOLUÇÕES S/A</t>
  </si>
  <si>
    <t>Prestação de serviço de suporte técnico e atualização de licenças para equipamentos e software da solução Cisco SmartNet.</t>
  </si>
  <si>
    <t>Portaria 787/2025
(0803853)</t>
  </si>
  <si>
    <t>Contrato CJF nº 49/2025 
(id. 0805575)</t>
  </si>
  <si>
    <t>BK TECNOLOGIA DA INFORMAÇAO LTDA EPP</t>
  </si>
  <si>
    <t>Contratação NACIONAL de empresa especializada para o fornecimento de subscrição Elastic Cloud Enterprise, com suporte e garantia de atualização de versões; com serviço de implantação, serviços técnicos especializados e treinamento oficial.</t>
  </si>
  <si>
    <t>Sim. TRF5 - Quarto Trimestre</t>
  </si>
  <si>
    <t>Portaria 807/2025
(0807903)</t>
  </si>
  <si>
    <t>Contrato CJF n. 026/2025
 (0749251)</t>
  </si>
  <si>
    <t>0010274-90.2024.4.04.8000</t>
  </si>
  <si>
    <t>Fornecimento de subscrições ZOOM</t>
  </si>
  <si>
    <t>Sim - TRF4 - Terceiro Trimestre</t>
  </si>
  <si>
    <t>Portaria 531
(0756837)</t>
  </si>
  <si>
    <t>Contrato CJF n. 018/2025
(0726000)</t>
  </si>
  <si>
    <t>0000188-60.2024.4.04.8000</t>
  </si>
  <si>
    <t>ZOOMTECH LTDA</t>
  </si>
  <si>
    <t>Servidores de rede</t>
  </si>
  <si>
    <t>Sim - TRF4 - Segundo Trimestre</t>
  </si>
  <si>
    <t>Portaria 339
(0729377)</t>
  </si>
  <si>
    <t>Contrato CJF n. 015/2025
(0717646)</t>
  </si>
  <si>
    <t>0000896-11.2024.4.90.8000</t>
  </si>
  <si>
    <t>WYNTECH SERVICOS EM TECNOLOGIA DA INFORMACAO LTDA</t>
  </si>
  <si>
    <t>Prestação do serviço técnico de operação de central de atendimento a usuários (Service Desk) no ambiente de TI do CJF</t>
  </si>
  <si>
    <t>TRDT
Termo de Recebimento Definitivo da Transição
(09/06/2025)</t>
  </si>
  <si>
    <t>Portaria 311
(0722056)</t>
  </si>
  <si>
    <t>Contrato CJF n. 023/2025
(0743255)</t>
  </si>
  <si>
    <t>0003692-15.2024.4.90.8000</t>
  </si>
  <si>
    <t>AC-JUS</t>
  </si>
  <si>
    <t>Prestador de Serviços de Suporte – PSS, para a Autoridade Certificadora da Justiça – AC-JUS</t>
  </si>
  <si>
    <t>Portaria 445
(0745982)</t>
  </si>
  <si>
    <t>Contrato CJF n. 033/2025 
(id. 0758033)</t>
  </si>
  <si>
    <t>0002868-84.2025.4.90.8000</t>
  </si>
  <si>
    <t>DECISION SERVIÇOS DE TECNOLOGIA DA INFORMAÇÃO LTDA</t>
  </si>
  <si>
    <t>Aquisição de licenças de subscrição dos softwares de virtualização de servidores, redes e de armazenamento do fabricante VMWARE</t>
  </si>
  <si>
    <t>Sim - TRF2 - Terceiro Trimestre</t>
  </si>
  <si>
    <t>Portaria 600
(0767341)</t>
  </si>
  <si>
    <t>Contrato CJF n. 035/2025
(id. 0757502)</t>
  </si>
  <si>
    <t>Portaria 709/2025
(0789704)</t>
  </si>
  <si>
    <t>Contrato CJF nº 39/2025 
(id. 0779646)</t>
  </si>
  <si>
    <t>HP BRASIL INDÚSTRIA E COMÉRCIO E EQUIPAMENTOS ELETRÔNICOS LTDA</t>
  </si>
  <si>
    <t>Fornecimento de computadores, notebooks e monitores, incluindo assistência técnica da garantia. 
(NOTEBOOKS)</t>
  </si>
  <si>
    <t>Sim - TRF1 - Quarto Trimestre</t>
  </si>
  <si>
    <t>Portaria 682
(0783993)</t>
  </si>
  <si>
    <t>Contrato CJF nº 41/2025 
(id. 0779651)</t>
  </si>
  <si>
    <t>Fornecimento de computadores, notebooks e monitores, incluindo assistência técnica da garantia.
(MICROCOMPUTADOR TIPO I)</t>
  </si>
  <si>
    <t>Contrato CJF nº 053/2025 
(id. 0811505)</t>
  </si>
  <si>
    <t>0002038-57.2025.4.90.8000</t>
  </si>
  <si>
    <t>Prestação de serviços de atualização de versão de software, suporte especializado ao produto, incluindo suporte avançado do fabricante, dos produtos Oracle licenciados para o CJF</t>
  </si>
  <si>
    <t>Portaria 12/2026
(0817043)</t>
  </si>
  <si>
    <t>Contratos da STI - 2026</t>
  </si>
  <si>
    <t>Considera para o PE-CJF - Indicador 18 - Índice de contratações conjuntas de soluções de TI com a participação de ao menos 3 órgãos da Justiça Federal (CCTI)?</t>
  </si>
  <si>
    <t>ARP n. 19/2025- TRF1
(id. 0813048)</t>
  </si>
  <si>
    <t>0020428-54.2024.4.01.8000</t>
  </si>
  <si>
    <t>DATAGROUP TECNOLOGIA DA INFORMACAO
LTDA</t>
  </si>
  <si>
    <t>Aquisição de solução de Gerenciamento de Serviços Corporativos de TI - GSC</t>
  </si>
  <si>
    <t>Sim - TRF1 - Primeiro Trimestre (2026)</t>
  </si>
  <si>
    <t>Contrato n. 003/2026 
(id. 0822031)</t>
  </si>
  <si>
    <t>0000400-28.2025.4.90.8000</t>
  </si>
  <si>
    <t>Link de internet dedicado com serviço de proteção contra ataques distribuídos de negação de serviço (anti-DDoS) - Link 1</t>
  </si>
  <si>
    <t>Assinatura</t>
  </si>
  <si>
    <t>Contrato n. 004/2026 
(id. 0822899)</t>
  </si>
  <si>
    <t>CLICK NET BRASIL TELECOMUNICAÇÃO LTDA - ME</t>
  </si>
  <si>
    <t>Link de internet dedicado com serviço de proteção contra ataques distribuídos de negação de serviço (anti-DDoS) - Link 2</t>
  </si>
  <si>
    <t>Contrato n. 005/2026 
(id. 0822900)</t>
  </si>
  <si>
    <t>ALGAR TELECOM S/A</t>
  </si>
  <si>
    <t>Link de internet dedicado com serviço de proteção contra ataques distribuídos de negação de serviço (anti-DDoS) - Link 3</t>
  </si>
  <si>
    <t>Contrato n. 008/2026 
(id. 0831338)</t>
  </si>
  <si>
    <t>0002303-15.2025.4.90.8000</t>
  </si>
  <si>
    <t>ALLTECH - SOLUÇÕES EM TECNOLOGIA LTDA</t>
  </si>
  <si>
    <t>Fornecimento de Solução de Proteção de Rede Perimetral (Firewall)</t>
  </si>
  <si>
    <t>A partir de 06/03/2026</t>
  </si>
  <si>
    <t>Contrato n. 009/2026
(id. 0833145)</t>
  </si>
  <si>
    <t>0002249-35.2025.4.90.8000</t>
  </si>
  <si>
    <t>CEREVI</t>
  </si>
  <si>
    <t xml:space="preserve">INSTITUTO ANTÔNIO HOUAISS </t>
  </si>
  <si>
    <t>Subscrição de licenças da solução Dicionário Houaiss Corporativo</t>
  </si>
  <si>
    <t>Contrato n. 
010/2026
(id. 0833926)</t>
  </si>
  <si>
    <t>0006121-14.2024.4.04.8000</t>
  </si>
  <si>
    <t>JAMC CONSULTORIA E REPRESENTAÇÕES DE SOFTWARE LTDA</t>
  </si>
  <si>
    <t>Solução de gerenciamento de acesso privilegiado (PAM - Privileged Access Management) Senha Segura</t>
  </si>
  <si>
    <t>Sim  - TRF4 - Primeiro Trimestre (2026)</t>
  </si>
  <si>
    <t>Contrato n. 
013/2026
(id. 0833926)</t>
  </si>
  <si>
    <t>0005778-47.2025.4.05.7000</t>
  </si>
  <si>
    <t>LANLINK SOLUÇÕES E COMERCIALIZAÇÃO EM INFORMÁTICA S/A</t>
  </si>
  <si>
    <t>Contratação de empresa especializada para o fornecimento de subscrições de licenças de software de colaboração e produtividade Microsoft 365</t>
  </si>
  <si>
    <t>Sim  - TRF5 - Quarto Trimestre (2025)</t>
  </si>
  <si>
    <t>A partir de 26/05/2026</t>
  </si>
  <si>
    <t>Contrato n. 014/2026
(id. 0839918)</t>
  </si>
  <si>
    <t>0003516-00.2024.4.90.8000</t>
  </si>
  <si>
    <t>CEJ</t>
  </si>
  <si>
    <t>MORI EDUCACAO LTDA</t>
  </si>
  <si>
    <t>Serviço de suporte técnico da plataforma de ensino Moodle do CEJ</t>
  </si>
  <si>
    <t>Contratos da STI</t>
  </si>
  <si>
    <t>Quantidade de contratos vigentes:</t>
  </si>
  <si>
    <t>Ano</t>
  </si>
  <si>
    <t>Orçamento aplicado a:</t>
  </si>
  <si>
    <t>008/2020
(id. 0721793)</t>
  </si>
  <si>
    <t>Prestação de Serviços Gerenciados de Segurança da Informação para o Conselho de Justiça Federal – CJF</t>
  </si>
  <si>
    <t>NUJUFE</t>
  </si>
  <si>
    <t>Prestação do serviço de emissão de certificados digitais, do tipo A3, padrão Cert-JUS, com visitas técnicas.</t>
  </si>
  <si>
    <t>Prestação do serviço de emissão de certificados digitais, do tipo A1, padrão Internacional.</t>
  </si>
  <si>
    <t>Prestação dos serviços de assistência técnica para equipamentos pertencentes à solução do ambiente físico seguro e seus subsistemas, do tipo Sala-Cofre Modular, do Conselho da Justiça Federal, abrangendo manutenção preventiva programada, corretiva e evolutiva de software, monitoramento e suporte técnico, com substituição de peças, componentes e equipamentos, bem como a manutenção das certificações ABNT NBR 15247 e NBR 60529 com o grau de proteção IP6</t>
  </si>
  <si>
    <t>SELBETTI GESTÃO DE DOCUMENTOS S.A,</t>
  </si>
  <si>
    <t>Prestação de serviços de impressão distribuída (outsourcing de impressão)</t>
  </si>
  <si>
    <t>CJF</t>
  </si>
  <si>
    <t>001/2025
(id. 0682958)</t>
  </si>
  <si>
    <t>015/2025
(id. 0717646)</t>
  </si>
  <si>
    <t>018/2025
(id. 0726000)</t>
  </si>
  <si>
    <t>023/2025
(id. 0743255)</t>
  </si>
  <si>
    <t>026/2025
 (id. 0749251)</t>
  </si>
  <si>
    <t>032/2025
(id. 0755079)</t>
  </si>
  <si>
    <t>033/2025 
(id. 0758033)</t>
  </si>
  <si>
    <t>034/2025 
(id. 0758500)</t>
  </si>
  <si>
    <t>035/2025
(id. 0757502)</t>
  </si>
  <si>
    <t>038/2025
(id. 0779918)</t>
  </si>
  <si>
    <t>FAGUNDEZ DISTRIBUIÇÃO LTDA</t>
  </si>
  <si>
    <t>Monitor tipo IV</t>
  </si>
  <si>
    <t>039/2025 
(id. 0779646)</t>
  </si>
  <si>
    <t>040/2025
(id. 0780580)</t>
  </si>
  <si>
    <t>DATEN TECNOLOGIA LTDA</t>
  </si>
  <si>
    <t>Notebook Tipo I</t>
  </si>
  <si>
    <t>041/2025 
(id. 0779651)</t>
  </si>
  <si>
    <t>044/2025
(id. 0792780)</t>
  </si>
  <si>
    <t>045/2025 
(id. 0797176)</t>
  </si>
  <si>
    <t>049/2025 
(id. 0805575)</t>
  </si>
  <si>
    <t>053/2025 
(id. 0811505)</t>
  </si>
  <si>
    <t>003/2026 
(id. 0822031)</t>
  </si>
  <si>
    <t>004/2026 
(id. 0822899)</t>
  </si>
  <si>
    <t>005/2026 
(id. 0822900)</t>
  </si>
  <si>
    <t>008/2026 
(id. 0831338)</t>
  </si>
  <si>
    <t>009/2026
(id. 0833145)</t>
  </si>
  <si>
    <t>010/2026
(id. 0833926)</t>
  </si>
  <si>
    <t>013/2026
(id. 0838959)</t>
  </si>
  <si>
    <t>014/2026
(id. 0839918)</t>
  </si>
  <si>
    <t>015/2026
(id. 0848192)</t>
  </si>
  <si>
    <t>b-CNPJ</t>
  </si>
  <si>
    <t>Atas da STI</t>
  </si>
  <si>
    <t>Quantidade de atas vigentes:</t>
  </si>
  <si>
    <t>Número 
do ARP</t>
  </si>
  <si>
    <r>
      <t xml:space="preserve">PORTARIAS DE NOMEAÇÕES PARA EQUIPES DE PLANEJAMENTO E APOIO À CONTRATAÇÃO - EPAC
</t>
    </r>
    <r>
      <rPr>
        <sz val="16"/>
        <color theme="0"/>
        <rFont val="Calibri"/>
        <family val="2"/>
        <scheme val="minor"/>
      </rPr>
      <t>Projetos de contratação envolvendo Solução de Tecnologia
da Informação e Comunicação - STIC</t>
    </r>
  </si>
  <si>
    <t>Assunto</t>
  </si>
  <si>
    <t>Portaria</t>
  </si>
  <si>
    <t>Integrantes da EPAC</t>
  </si>
  <si>
    <t>Integrantes Titulares</t>
  </si>
  <si>
    <t>Lotação</t>
  </si>
  <si>
    <t>Integrantes Suplentes</t>
  </si>
  <si>
    <t>Status</t>
  </si>
  <si>
    <t>0000107-71.2023.4.90.8000</t>
  </si>
  <si>
    <t>Aquisição de licenças dos softwares CADDPROJ Elétrica e CADDPROJ Cabeamento Estruturado. Atualização do CypeCad e PRO-Hidráulica por meio do Sistema de Registro de Preço - SRP.</t>
  </si>
  <si>
    <t>Portaria 63
(id. 0423379)</t>
  </si>
  <si>
    <t>Demandante</t>
  </si>
  <si>
    <t>EVA DA CONCEIÇÃO FERREIRA BRITO
(mat. 275)</t>
  </si>
  <si>
    <t>SGO/SEPLAO</t>
  </si>
  <si>
    <t>MARCELI PINHEIRO DE VASCONCELLOS
(mat. 856)</t>
  </si>
  <si>
    <t>SAI/SEACON</t>
  </si>
  <si>
    <t>ARP ASSINADA
EQUIPE DESCONSTITUÍDA
Portaria CJF n. 232 Art. 6º, § 4º</t>
  </si>
  <si>
    <t>Técnico</t>
  </si>
  <si>
    <t>JAIR DIAS DE OLIVEIRA JUNIOR
(mat. 947)</t>
  </si>
  <si>
    <t>STI/SEPGOV</t>
  </si>
  <si>
    <t>JEFFERSON COLOMBO BARBOSA XAVIER
(mat. 740)</t>
  </si>
  <si>
    <t>STI/SUTEC</t>
  </si>
  <si>
    <t>Administrativo</t>
  </si>
  <si>
    <t>CELIA REGINA CÉSAR SILVA
(mat. 1005)</t>
  </si>
  <si>
    <t>SAD/SEAPO</t>
  </si>
  <si>
    <t>RAFAEL VELOSO MIZUNO
(mat. 1059)</t>
  </si>
  <si>
    <t>0004138-75.2022.4.90.8000</t>
  </si>
  <si>
    <t>Contratação de serviço de desenvolvimento de sistemas de informação - Fábrica de Software - SUSOF</t>
  </si>
  <si>
    <t>Portaria 571
(id. 0494818)</t>
  </si>
  <si>
    <t>CAIO VINICIUS SANT´ANNA DE CARVALHO
(mat. 1092)</t>
  </si>
  <si>
    <t>STI/SUSOF</t>
  </si>
  <si>
    <t>DESATUALIZADA
JÁ FOI EDITADA NOVA PORTARIA 105/2024 (ID. 0552046)</t>
  </si>
  <si>
    <t>MARCELO BARRETO DE ARRUDA
(mat. 461)</t>
  </si>
  <si>
    <t>STI/SESUPE</t>
  </si>
  <si>
    <t>MÁRCIA COUTINHO MARTINS
(mat. 1069)</t>
  </si>
  <si>
    <t>RAFAEL VELOSO MIZUNO
(mat.1059)</t>
  </si>
  <si>
    <t>MICHAEL DA SILVA PLACIDO
(mat. 1102)</t>
  </si>
  <si>
    <t>SAD/DIPLA</t>
  </si>
  <si>
    <t>0001291-59.2023.4.90.8000</t>
  </si>
  <si>
    <t>Atualização de versão e suporte técnico do software BR/Search (e camada de aplicação NetAnswer).</t>
  </si>
  <si>
    <t>Portaria 288
(id. 0453595)</t>
  </si>
  <si>
    <t>ADRIANA JESUS DE MORAIS 
(mat. 382)</t>
  </si>
  <si>
    <t>STI/SESSER</t>
  </si>
  <si>
    <t>VALERIA PRADO A. DE OLIVEIRA BRAGA
(mat. 457)</t>
  </si>
  <si>
    <t>STI/SEATEN</t>
  </si>
  <si>
    <t>CANCELADA</t>
  </si>
  <si>
    <t>RAYMILAM MELO DA SILVA 
(mat. 1002)</t>
  </si>
  <si>
    <t>VALERIA PRADO A.DE OLIVEIRA BRAGA
(mat. 457)</t>
  </si>
  <si>
    <t>CELIA REGINA CÉSAR SILVA 
(mat. 1005)</t>
  </si>
  <si>
    <t>0000957-42.2023.4.90.8000</t>
  </si>
  <si>
    <t>Aquisição de novos servidores de rede.</t>
  </si>
  <si>
    <t>Portaria 243
(id. 0447853)</t>
  </si>
  <si>
    <t>DESATUALIZADA</t>
  </si>
  <si>
    <t>DIEGO VIEIRA SOUTO
(mat. 1042)</t>
  </si>
  <si>
    <t>JOSIAS FERREIRA ALVES NETO
(mat. 1061)</t>
  </si>
  <si>
    <t>0000033-09.2023.4.90.8000</t>
  </si>
  <si>
    <t>Aquisição de licenças de uma ferramenta de sincronização de base de dados.</t>
  </si>
  <si>
    <t>Portaria 517
(id. 0487431)</t>
  </si>
  <si>
    <t>DIOGO ALVES ARAÚJO
(mat. 950)</t>
  </si>
  <si>
    <t>STI/SECORP</t>
  </si>
  <si>
    <t>Objeto contido no processo do PHP</t>
  </si>
  <si>
    <t>ROBERTO BERLIM FONSENCA
(mat. 402)</t>
  </si>
  <si>
    <t>SAI/SEALDI</t>
  </si>
  <si>
    <t>Adesão à Ata de Registro de Preços n. 21/2022 - Software de Engenharia - Autodesk AEC (AutoCAD e Revit)</t>
  </si>
  <si>
    <t>CONTRATO ASSINADO
EQUIPE DESCONSTITUÍDA
Portaria CJF n. 232 Art. 6º, § 4º</t>
  </si>
  <si>
    <t>0000179-46.2023.4.90.8000</t>
  </si>
  <si>
    <t>Registro de Preço para aquisição de workstations de alta performance para atender as necessidades da SGO, ASCOM e CEJ.</t>
  </si>
  <si>
    <t>Portaria 93
(id. 0428679)</t>
  </si>
  <si>
    <t>MÔNICA REGINA FERREIRA ANTUNES
(mat. 459)</t>
  </si>
  <si>
    <t>SGO/SUMOB</t>
  </si>
  <si>
    <t>Contratação de empresa especializada para o fornecimento de 18 (dezoito) subscrições de pacote de aplicativos ADOBE CREATIVE CLOUD.</t>
  </si>
  <si>
    <t>Portaria 293
(id. 0454408)</t>
  </si>
  <si>
    <t>0003989-73.2022.4.90.8000</t>
  </si>
  <si>
    <t>Desenvolvimento do novo Portal do CJF.</t>
  </si>
  <si>
    <t>Portaria 755
(id. 0414555)</t>
  </si>
  <si>
    <t>ALEX PENA TOSTA DA SILVA
(mat. 881)</t>
  </si>
  <si>
    <t>SG/SUIAN</t>
  </si>
  <si>
    <t>JOSÉ FRANCISCO ALVES
(mat. 901)</t>
  </si>
  <si>
    <t>SEG/SEGESP</t>
  </si>
  <si>
    <t>EDUARDO DE SOUZA CARVALHAL
(mat. 1047)</t>
  </si>
  <si>
    <t>JULIO CESAR DOS SANTOS DA ROSA
(mat. 968)</t>
  </si>
  <si>
    <t>SCE/SEPRED</t>
  </si>
  <si>
    <t>DIEGO KOVAGS MOREIRA
(mat. 966)</t>
  </si>
  <si>
    <t>STI/SUGOV</t>
  </si>
  <si>
    <t>ANDRÉ ARGOLO DINIZ DE CARVALHO
(mat. 993)</t>
  </si>
  <si>
    <t>SAD/ASSAD</t>
  </si>
  <si>
    <t>Ampliação da solução de armazenamento de dados (storage)</t>
  </si>
  <si>
    <t>Portaria 566
(id. 0494294)</t>
  </si>
  <si>
    <t>RICARDO RODRIGUES LOIOLA
(mat. 1099)</t>
  </si>
  <si>
    <t>STI/SUSTI</t>
  </si>
  <si>
    <t>ANDRÉ CONTERATO BRASILIANO DA COSTA
(mat. 1103)</t>
  </si>
  <si>
    <t>STI/SESINF</t>
  </si>
  <si>
    <t>Ampliação da solução de Backup de dados.</t>
  </si>
  <si>
    <t>Portaria 568
(id. 0494316)</t>
  </si>
  <si>
    <t>ARP Publicada
Portaria CJF n. 232 Art. 6º, § 4º</t>
  </si>
  <si>
    <t>0000784-90.2023.4.90.8000</t>
  </si>
  <si>
    <t>TSS com intuito de implantar o serviço de descoberta de conteúdo em escala (Web Scale Discovery Service) para ampliar o acesso à informação e facilitar as pesquisas dos usuários da Central de Atendimento ao Juiz Federal - CAJU, da Biblioteca do CJD e da ENFAM.</t>
  </si>
  <si>
    <t>Portaria 211
(id. 0444194)</t>
  </si>
  <si>
    <t>MARIA APARECIDA DE ASSIS MARKS
(mat. 640)</t>
  </si>
  <si>
    <t>CEJ/DIBIE</t>
  </si>
  <si>
    <t>EM ANDAMENTO</t>
  </si>
  <si>
    <t>0001219-21.2023.4.90.8000</t>
  </si>
  <si>
    <t>Solução de gerenciamento de acesso privilegiado (PAM).</t>
  </si>
  <si>
    <t>Portaria 270
(id. 0450961)</t>
  </si>
  <si>
    <t>RENATO SOLIMAR ALVES
(mat. 673)</t>
  </si>
  <si>
    <t>NÉLIO ALVES DA SILVA
(mat. 999)</t>
  </si>
  <si>
    <t>STI/SESERE</t>
  </si>
  <si>
    <t>Contratação de Solução de Segurança de TI para proteção de servidores de rede, estações de trabalho (endpoint), serviço de e-mail e Office 365 contemplando instalação e configuração, suporte técnico e garantia do fabricante.</t>
  </si>
  <si>
    <t>Portaria 863
(id. 0538727)</t>
  </si>
  <si>
    <t>Extensão da garantia do ambiente de servidores em lâminas (blades) HPE.</t>
  </si>
  <si>
    <t>Portaria 400
(id. 0471382)</t>
  </si>
  <si>
    <t>0001982-15.2023.4.90.8000</t>
  </si>
  <si>
    <t>Aquisição de Webcams 2023/2024.</t>
  </si>
  <si>
    <t>Portaria 507
(id. 0485205)</t>
  </si>
  <si>
    <t>PAULO MARTINS INOCÊNCIO
(mat. 95)</t>
  </si>
  <si>
    <t>Aquisição e renovação de licenças PHPStorm, bem como aquisição de licenças do pacote Jetbrains - All Products Pack</t>
  </si>
  <si>
    <t>Portaria 060
(id.0546419)</t>
  </si>
  <si>
    <t>MARCO ANTONIO MENDES DE MORAES
(mat. 950)</t>
  </si>
  <si>
    <t>STI/ASSTI</t>
  </si>
  <si>
    <t>CÉLIA REGINA CÉSAR SILVA
(mat. 1005)</t>
  </si>
  <si>
    <t>PAULO VICTOR CAIXÊTA FERRAZ
(mat.1027)</t>
  </si>
  <si>
    <t>0002787-22.2022.4.90.8000</t>
  </si>
  <si>
    <t>Contratação de serviços para atividades de apoio técnico à gestão de tecnologia da informação.</t>
  </si>
  <si>
    <t>Portaria 801
(id. 0528412)</t>
  </si>
  <si>
    <t>ALICE ÁLVARES DE OLIVEIRA
(mat. 1097)</t>
  </si>
  <si>
    <t>Contratação de empresa especializada para renovação de licenciamento de softwares da Microsoft.</t>
  </si>
  <si>
    <t>Portaria 631
(id. 0402948)</t>
  </si>
  <si>
    <t>Portaria CJF. 114/2024
(id.0555035)</t>
  </si>
  <si>
    <t>PAULO VITOR CAIXÊTA FERRAZ
(mat. 1059)</t>
  </si>
  <si>
    <t>Aquisição de licenças do plugin Enscape (renderização em tempo real) para uso da SGO.</t>
  </si>
  <si>
    <t>Portaria CJF. 101/2024
(id. 0551616)</t>
  </si>
  <si>
    <t>JOABE DOMINGOS ROCHA
(mat. 1113)</t>
  </si>
  <si>
    <t>MARCELO SARAIVA DE FREITAS
(mat. 1115)</t>
  </si>
  <si>
    <t>VALERIA PRADO ARCIRIO DE O. BRAGA
(mat. 457)</t>
  </si>
  <si>
    <t>0000493-18.2024.4.90.8000</t>
  </si>
  <si>
    <t>Aquisição de licenças de software para Orçamento de Obras - OrçaFascio - SGO.</t>
  </si>
  <si>
    <t>Portaria CJF 176/2024
(id. 0567013)</t>
  </si>
  <si>
    <t>VALÉRIA PRADO A. DE O. BRAGA
(mat. 457)</t>
  </si>
  <si>
    <t>GERALDO COSTA C. NETO
(mat. 1106)</t>
  </si>
  <si>
    <t>0000865-15.2024.4.90.8000</t>
  </si>
  <si>
    <t>Contratação de solução de APM (Application Performance Monitoring).</t>
  </si>
  <si>
    <t>Portaria CJF  184/2024
(id. 0568435)</t>
  </si>
  <si>
    <t>MATHEUS SOUZA FONSECA
(mat. 958)</t>
  </si>
  <si>
    <t>ADRIANA DE JESUS MORAIS
(mat. 382)</t>
  </si>
  <si>
    <t>Contratação do serviço de atendimento N1 e N2 (Service Desk).</t>
  </si>
  <si>
    <t>Portaria CJF 190/2024
(id. 0569588)</t>
  </si>
  <si>
    <t>Contratação de solução de controle de entrega de aplicações - ADC (Application Delivery Controller).</t>
  </si>
  <si>
    <t>Portaria CJF 840/2024
(id. 0665441)</t>
  </si>
  <si>
    <t>CHARLES FERNANDO ALVES
(mat. 1091)</t>
  </si>
  <si>
    <t>PAULO HENRIQUE BATISTA DOS SANTOS
(mat. 1130)</t>
  </si>
  <si>
    <t>0001270-41.2024.4.90.8000</t>
  </si>
  <si>
    <t>Contratação de serviços gerenciados de Segurança da Informação (SOC).</t>
  </si>
  <si>
    <t>Portaria CJF 219/2024
(id. 0576654)</t>
  </si>
  <si>
    <t>Contratação b-CPF 2024</t>
  </si>
  <si>
    <t>Portaria CJF 272/2024
(id. 0581033)</t>
  </si>
  <si>
    <t>RAYMILAM MELO DA SILVA
(mat. 1002)</t>
  </si>
  <si>
    <t>Contratação de solução de auditoria de dados - Varonis - com STJ.</t>
  </si>
  <si>
    <t>Portaria CJF 263/2024
(id. 0580071)</t>
  </si>
  <si>
    <t>0000920-78.2024.4.90.8000</t>
  </si>
  <si>
    <t>Contratação ElasticSearch</t>
  </si>
  <si>
    <t>Portaria CJF 277/2024
(id. 0581879)</t>
  </si>
  <si>
    <t>0001222-59.2021.4.01.8000</t>
  </si>
  <si>
    <t>Compra compartilhada com TRF1 - Ferramenta de Gerenciamento de Serviços de TI - ITSM / ESM</t>
  </si>
  <si>
    <t>Portaria CJF 274/2024
(id. 0581769)</t>
  </si>
  <si>
    <t>Contratação para acesso à INFOVIA.</t>
  </si>
  <si>
    <t>Portaria CJF 320/2024
(id. 0591011)</t>
  </si>
  <si>
    <t>Compra compartilhada com TRF1 - Microcomputadores, notebooks e monitores</t>
  </si>
  <si>
    <t>Portaria CJF 344/2024
(id. 0594584)</t>
  </si>
  <si>
    <t>Portaria CJF 341/2024
(id. 0593687)</t>
  </si>
  <si>
    <t>Contratação VMWare</t>
  </si>
  <si>
    <t>Portaria CJF 008/2024
(id. 0540542)</t>
  </si>
  <si>
    <t>0002526-10.2024.4.90.8000</t>
  </si>
  <si>
    <t>Extensão de garantia do fabricante, serviços de atualização e suporte técnico especializado, manutenção corretiva e preventiva de equipamentos de segurança de TI para proteção de perímetro do Site 02 do CJF.</t>
  </si>
  <si>
    <t>Portaria CJF N. 608/2024
(id. 0632850)</t>
  </si>
  <si>
    <t>Portaria 326/2025
(0726947)</t>
  </si>
  <si>
    <t>MURILLO VICTOR PINTO
(mat. 1153)</t>
  </si>
  <si>
    <t>GABRIEL OLIVEIRA MENEZES
(mat. 1150)</t>
  </si>
  <si>
    <t>0003581-08.2024.4.90.8000</t>
  </si>
  <si>
    <t>Manutenção corretiva e preventiva do equipamento Storage Netapp FAS-9000</t>
  </si>
  <si>
    <t>Portaria CJF 065/2025
(id. 0674950)</t>
  </si>
  <si>
    <t>Solução de controle de entrega de aplicações - ADC (Application Delivery Controller)</t>
  </si>
  <si>
    <t>Portaria 759/2025
(0799693)</t>
  </si>
  <si>
    <t>ADRIANA JESUS DE MORAIS
(mat. 382)</t>
  </si>
  <si>
    <t>PAULO VITOR CAIXETA FERRAZ
(mat. 1027)</t>
  </si>
  <si>
    <t>Serviço de manutenção dos ativos de rede.</t>
  </si>
  <si>
    <t>Portaria 569/2025
 (0761674)</t>
  </si>
  <si>
    <t>Serviço de conectividade à internet com redundância e proteção contra ataques distribuídos de negação de serviço (anti-DDoS)</t>
  </si>
  <si>
    <t>Portaria 579/2025
(0762339)</t>
  </si>
  <si>
    <t>0001483-17.2025.4.90.8000</t>
  </si>
  <si>
    <t>CAPTCHA</t>
  </si>
  <si>
    <t>Portaria 268
(0713346)</t>
  </si>
  <si>
    <t>CAIO VINICIUS S. DE CARVALHO
(mat. 1092)</t>
  </si>
  <si>
    <t>Suporte e Atualização Oracle</t>
  </si>
  <si>
    <t>Portaria 574/2025
(0762176)</t>
  </si>
  <si>
    <t>APM (Application Performance Monitoring)</t>
  </si>
  <si>
    <t>Portaria 741/2025
(0796074)</t>
  </si>
  <si>
    <t>Gestor</t>
  </si>
  <si>
    <t>ADRIANA DE JESUS MORAIS
(382)</t>
  </si>
  <si>
    <t>FRED ULISSES MARANHÃO
(mat. 1168)</t>
  </si>
  <si>
    <t>GERALDO COSTA CAVALCANTE NETO
(1106)</t>
  </si>
  <si>
    <t>JOSIAS FERREIRA ALVES NETO</t>
  </si>
  <si>
    <t>ITSM</t>
  </si>
  <si>
    <t>Portaria 597/2025
(0766863)</t>
  </si>
  <si>
    <t>MARCELO SARAIVA DE FREITAS
(1115)</t>
  </si>
  <si>
    <t>ANDRÉ CONTERATO B. DA COSTA
(mat. 1103)</t>
  </si>
  <si>
    <t>Aquisição Dicionário On-line</t>
  </si>
  <si>
    <t>Portaria 611
(0768981)</t>
  </si>
  <si>
    <t>LUCINDA SIQUEIRA CHAVES
(300)</t>
  </si>
  <si>
    <t>CRISTIANA TEIXEIRA COSTA SILVA
(1122)</t>
  </si>
  <si>
    <t>ANDRÉ CONTERATO BRASILIANO DA COSTA
(1103)</t>
  </si>
  <si>
    <t>JOSIAS FERREIRA ALVES NETO
1061)</t>
  </si>
  <si>
    <t>0002887-47.2025.4.90.8000</t>
  </si>
  <si>
    <t>Contratação de Produtos RedHat</t>
  </si>
  <si>
    <t>Portaria 737/2025
(0796024)</t>
  </si>
  <si>
    <t>0002128-48.2025.4.90.8000</t>
  </si>
  <si>
    <t>Subscrição Linux e ferramenta 
de gerenciamento centralizado Multi-Linux</t>
  </si>
  <si>
    <t>Portaria 735/2025
(0795043)</t>
  </si>
  <si>
    <t>JOSIAS FERREIRA ALVES NETO
(1061)</t>
  </si>
  <si>
    <t>Contratação de solução de segurança da informação para proteção do ambiente corporativo do CJF e NUJUFE, composta por firewalls de próxima geração (NGFW), plataforma de gerenciamento centralizado, análise de eventos e detecção de ameaças avançadas</t>
  </si>
  <si>
    <t>Portaria 583/2025
(0764019)</t>
  </si>
  <si>
    <t>NÉLIO ALVES DA SILVA
(999)</t>
  </si>
  <si>
    <t>MURILLO VICTOR PINTO
(1153)</t>
  </si>
  <si>
    <t>Solução de busca baseada em texto livre, com suporte a análise de dados e aplicação de algoritmos de inteligência artificial</t>
  </si>
  <si>
    <t>Portaria 602/2025 (0768004)</t>
  </si>
  <si>
    <t>MATHEUS SOUZA FONSECA 
(958)</t>
  </si>
  <si>
    <t>RAYMILAM MELO DA SILVA 
(1002)</t>
  </si>
  <si>
    <t>TAILON DA SILVA GALVÃO
(1167)</t>
  </si>
  <si>
    <t>Portaria CJF. 657/2025
(id. 0777178)</t>
  </si>
  <si>
    <t>Aquisição de licenças, subscrições e créditos em nuvem Microsoft a fim de permitir a continuidade da utilização das soluções de produtividade da Microsoft utilizadas no CJF</t>
  </si>
  <si>
    <t>Portaria CJF. 690/2025
785961</t>
  </si>
  <si>
    <t>MARCO ANTONIO MENDES DE MORAIS
(mat. 950)</t>
  </si>
  <si>
    <t>GERALDO COSTA CAVALCANTE NETO
(mat. 1106)</t>
  </si>
  <si>
    <t>0003902-74.2025.4.90.8000</t>
  </si>
  <si>
    <t>Contratação de serviço de manutenção e suporte técnico especializado para os equipamentos ativos de rede da marca DELL que compõem a infraestrutura da Nuvem Privada da Justiça Federal (NUJUFE).</t>
  </si>
  <si>
    <t>Portaria CJF. 699/2025
(0787854)</t>
  </si>
  <si>
    <t>RICARDO BERNARDES DOS SANTOS
(mat. 1175)</t>
  </si>
  <si>
    <t>RICARDO BERNARDES DOS SANTOS 
(mat. 1175)</t>
  </si>
  <si>
    <t>0003867-57.2025.4.90.8000</t>
  </si>
  <si>
    <t>Solução de segurança perimetral para proteção de aplicações web públicas, com recursos integrados de  mitigação de ataques DDoS, controle de bots, regras de acesso personalizadas e visibilidade sobre o tráfego de rede</t>
  </si>
  <si>
    <t>Portaria CJF. 730/2025
(0793423)</t>
  </si>
  <si>
    <t>Requisitante</t>
  </si>
  <si>
    <t>0003814-45.2025.4.90.8000</t>
  </si>
  <si>
    <t>Fornecimento de notebooks Copilot+ PC para atividades especializadas de auditoria interna e análise de dados .</t>
  </si>
  <si>
    <t>Portaria CJF. 771/2025
(0801030)</t>
  </si>
  <si>
    <t>ROBERTO BERLIM FONSECA
(mat. 402)</t>
  </si>
  <si>
    <t>SAU</t>
  </si>
  <si>
    <t>0004052-12.2025.4.90.8000</t>
  </si>
  <si>
    <t xml:space="preserve">Contratação da solução de distribuição de informações de cadastro com tecnologia Blockchain, como Serviço – BcaaS, para acesso a dados do Cadastro Nacional de Pessoas Jurídicas, intitulada b-CNPJ. </t>
  </si>
  <si>
    <t>Portaria CJF. 795/2025
(0805757)</t>
  </si>
  <si>
    <t>0004385-79.2025.4.90.8000</t>
  </si>
  <si>
    <t>Contratação de solução de inteligência artificial generativa baseada na arquitetura Generative Pre-Trained Transformer 4 ou superior.</t>
  </si>
  <si>
    <t>Portaria CJF. 802/2025
(0806940)</t>
  </si>
  <si>
    <t>0004325-38.2025.4.90.8000</t>
  </si>
  <si>
    <t>Contratação de empresa especializada para prestação de serviços continuados de manutenção preventiva e corretiva, suporte técnico e monitoramento da Sala-Cofre Modular do CJF</t>
  </si>
  <si>
    <t>Portaria CJF. 826/2025
(0811096)</t>
  </si>
  <si>
    <t>0000071-88.2026.4.90.8000</t>
  </si>
  <si>
    <t xml:space="preserve">Contratação de 3 licenças de Software AltoQI Builder Infinity Cloud. </t>
  </si>
  <si>
    <t>Portaria 39/2026
(id. 0816230)</t>
  </si>
  <si>
    <t>BRENDA LILIAN MARINHO DE ALMEIDA
(mat. 1154)</t>
  </si>
  <si>
    <t>0000089-15.2026.4.90.8000</t>
  </si>
  <si>
    <t>Aquisição de novos servidores de rede</t>
  </si>
  <si>
    <t>Portaria 41/2026
(id. 0816803)</t>
  </si>
  <si>
    <t>0004062-94.2025.4.90.8000</t>
  </si>
  <si>
    <t>Aquisição de equipamentos de computação de alto desempenho (HPC) especializados para Inteligência Artificial (IA)</t>
  </si>
  <si>
    <t>Portaria 43/2026
(id. 0817201)</t>
  </si>
  <si>
    <t>TAILON DA SILVA GALVÃO
(mat. 1167)</t>
  </si>
  <si>
    <t>0000117-03.2026.4.90.8000</t>
  </si>
  <si>
    <t>Aquisição de subscrição de ferramenta de gerenciamento de ciclo de vida de software, GitLab Ultimate, para atendimento ao desenvolvimento e manutenção de software do CJF</t>
  </si>
  <si>
    <t>Portaria 80/2026
(id. 0823978)</t>
  </si>
  <si>
    <t>CAIO VINICIUS SANT'ANNA DE CARVALHO</t>
  </si>
  <si>
    <t>MARCELO BARRETO DE ARRUDA</t>
  </si>
  <si>
    <t>GABRIEL OLIVEIRA MENEZES</t>
  </si>
  <si>
    <t>0000164-11.2026.4.90.8000</t>
  </si>
  <si>
    <t>Subscrições de plug-in de renderização em tempo real e visualização 3D voltado para projetos de engenharia e arquitetura, compatível com REVIT.</t>
  </si>
  <si>
    <t>Portaria 112/2026
(id. 0832668)</t>
  </si>
  <si>
    <t>VIVIANE MENEZES XAVIER DE SOUZA
(mat. 973)</t>
  </si>
  <si>
    <r>
      <t xml:space="preserve">PORTARIAS DE NOMEAÇÕES DE GESTORES E FISCAIS DE CONTRATOS ADMINISTRATIVOS - ANO 2022
</t>
    </r>
    <r>
      <rPr>
        <sz val="18"/>
        <color theme="0"/>
        <rFont val="Calibri"/>
        <family val="2"/>
        <scheme val="minor"/>
      </rPr>
      <t>Contratos sob gestão da Secretaria de tecnologia da Informação - STI</t>
    </r>
  </si>
  <si>
    <t>Contrato</t>
  </si>
  <si>
    <t xml:space="preserve">Integrantes </t>
  </si>
  <si>
    <t>Contrato n. 012/2022
(id. 0340282)</t>
  </si>
  <si>
    <t>Prestação de serviços especializados em suporte técnico, ajustes, atualização, apoio à migração, capacitação, evolução e manutenção do Software de Gestão Automation System of Inventory - ASIWEB.</t>
  </si>
  <si>
    <t>Portaria 281
(id. 0345271)</t>
  </si>
  <si>
    <t>DHYONATAS LOPES DE MACÊDO
(mat. 969)</t>
  </si>
  <si>
    <t>RENATO CARES BANDEIRA
(mat. 1049)</t>
  </si>
  <si>
    <t>Fiscal Técnico</t>
  </si>
  <si>
    <t>VALÉRIA PRADO A. DE OLIVEIRA BRAGA
(mat. 457)</t>
  </si>
  <si>
    <t>Fiscal Requisitante</t>
  </si>
  <si>
    <t>Contrato n. 003/2022
(id. 0323247)</t>
  </si>
  <si>
    <t>Prestação de serviço de manutenção preventiva e corretiva dos relógios biométricos Henry Primme SF Ponto Bio com fornecimento de peças.</t>
  </si>
  <si>
    <t>Portaria 621
(id. 0397927)</t>
  </si>
  <si>
    <t>WIVIANE SOUSA DOS SANTOS
(mat. 921)</t>
  </si>
  <si>
    <t>CRISTIELI DA SILVA CALADO BRITO
(mat. 912)</t>
  </si>
  <si>
    <t>ALDA COSTA BRITO
(mat. 788)</t>
  </si>
  <si>
    <t>Fiscal Admnistrativo</t>
  </si>
  <si>
    <t xml:space="preserve"> JOSIAS FERREIRA ALVES NETO
(mat. 1061)</t>
  </si>
  <si>
    <t>Contrato n. 022/2022
(id. 0386582)</t>
  </si>
  <si>
    <t>Portaria 436
(id. 0478417)</t>
  </si>
  <si>
    <t>Contrato n. 019/2022
(id. 0370794)</t>
  </si>
  <si>
    <t>Prestação de serviços de comunicação de dados para conexão da rede do CJF à Internet com saída pelo STJ, compreendendo serviços de instalação, configuração e ativação dos circuitos; serviço de monitoramento dos circuitos; aluguel em comodato de roteador; suporte técnico e proteção contra-ataques distribuídos de negação de serviço.</t>
  </si>
  <si>
    <t>Portaria 565 (id. 0761262)</t>
  </si>
  <si>
    <t>DIPLA</t>
  </si>
  <si>
    <t>Contrato n. 029/2022
(id. 0404725)</t>
  </si>
  <si>
    <t>Contratação de software como serviços da licença Dicionário Houaiss Corporativo.</t>
  </si>
  <si>
    <t>Portaria 696
(id. 0407727)</t>
  </si>
  <si>
    <t>LUCINDA SIQUEIRA CHAVES
(mat. 300)</t>
  </si>
  <si>
    <t>SG</t>
  </si>
  <si>
    <t>ANTONIO CÉSAR DE VALE
(mat. 1006)</t>
  </si>
  <si>
    <t xml:space="preserve"> JEFFERSON COLOMBO BARBOSA XAVIER
(mat. 740)</t>
  </si>
  <si>
    <t>0003812-12.2021.4.90.8000</t>
  </si>
  <si>
    <t>Contrato n. 030/2022
(id. 0405074)</t>
  </si>
  <si>
    <t>Prestação do serviço técnico de sustentação do ambiente de infraestrutura de Tecnologia da Informação (TI) e monitoramento do Conselho da Justiça Federal – CJF.</t>
  </si>
  <si>
    <t>Portaria 703
(id. 0515658)</t>
  </si>
  <si>
    <r>
      <t xml:space="preserve">PORTARIAS DE NOMEAÇÕES DE GESTORES E FISCAIS DE CONTRATOS ADMINISTRATIVOS - ANO 2023
</t>
    </r>
    <r>
      <rPr>
        <sz val="18"/>
        <color theme="0"/>
        <rFont val="Calibri"/>
        <family val="2"/>
        <scheme val="minor"/>
      </rPr>
      <t>Contratos sob gestão da Secretaria de tecnologia da Informação - STI</t>
    </r>
  </si>
  <si>
    <t>Contrato n. 031/2023
(id. 0522104)</t>
  </si>
  <si>
    <t>Portaria 797
(id. 0528114)</t>
  </si>
  <si>
    <t xml:space="preserve"> VIVIANE MENEZES XAVIER DE SOUZA
(mat. 973)</t>
  </si>
  <si>
    <t>Contrato n. 029/2023
(id. 0506149)</t>
  </si>
  <si>
    <t>Portaria 652
(id. 0510314)</t>
  </si>
  <si>
    <t>Fiscal Administrativo</t>
  </si>
  <si>
    <t>Contrato n. 022/2023
(id. 0498012)</t>
  </si>
  <si>
    <t>Portaria 558 (id. 0760911)</t>
  </si>
  <si>
    <t>Contrato n. 019/2023
(id. 0465117)</t>
  </si>
  <si>
    <t>Portaria 770
(id. 0525051)</t>
  </si>
  <si>
    <t>Jefferson Colombo Barbosa Xavier
(mat. 740)</t>
  </si>
  <si>
    <t>MARCELO SARAIVA DE FREITAS
(mat. 1099)
e
ADRIANA JESUS DE MORAIS
(mat. 382)</t>
  </si>
  <si>
    <t>0002028-41.2023.4.90.8000</t>
  </si>
  <si>
    <t>Contrato n. 024/2023
(id. 0489604)</t>
  </si>
  <si>
    <t>Adesão à ARP para aquisição de 8 subscrições Red Hat OpenShift.</t>
  </si>
  <si>
    <t>Portaria 871
(id. 0538970)</t>
  </si>
  <si>
    <t>0000615-88.2022.4.90.8000</t>
  </si>
  <si>
    <t>Contrato n. 010/2023
(id. 0421267)</t>
  </si>
  <si>
    <t>Contratação de extensão de garantia, serviços de atualização e suporte técnico, manutenção corretiva e preventiva das soluções de segurança de perímetro em uso pelo CONTRATANTE, incluindo substituição de peças.</t>
  </si>
  <si>
    <t>Portaria 738
(id. 0520387)</t>
  </si>
  <si>
    <t>Contrato n. 020/2023
(id. 0472099)</t>
  </si>
  <si>
    <t>Portaria 415
(id. 0477482)</t>
  </si>
  <si>
    <t>CAIO VINICIUS SANT'ANNA DE CARVALHO
(mat. 1092)</t>
  </si>
  <si>
    <t>Márcia Coutinho Martins
(mat. 1069)</t>
  </si>
  <si>
    <t>Fiscal administrativo</t>
  </si>
  <si>
    <t>Josias Ferreira Alves Neto
(mat. 1061)</t>
  </si>
  <si>
    <r>
      <t xml:space="preserve">PORTARIAS DE NOMEAÇÕES DE GESTORES E FISCAIS DE CONTRATOS ADMINISTRATIVOS - ANO 2024
</t>
    </r>
    <r>
      <rPr>
        <sz val="18"/>
        <color theme="0"/>
        <rFont val="Calibri"/>
        <family val="2"/>
        <scheme val="minor"/>
      </rPr>
      <t>Contratos sob gestão da Secretaria de tecnologia da Informação - STI</t>
    </r>
  </si>
  <si>
    <t>Contrato n. 032/2023
(id.0533201)</t>
  </si>
  <si>
    <t>Portaria 019/2024
(id. 0541278)</t>
  </si>
  <si>
    <t>Gestor do Contrato</t>
  </si>
  <si>
    <t>ALEX PENA TOSTA
(mat. 881)</t>
  </si>
  <si>
    <t>EDIMILSON CAVALCANTE DE OLIVEIRA
(mat. 683)</t>
  </si>
  <si>
    <t>COSME DIEGO DA SILVA AUGUSTO
(mat. 957)</t>
  </si>
  <si>
    <t>MARIA CLARA TEIXEIRA DE ASSIS
(mat. 875)</t>
  </si>
  <si>
    <t>EDGAR GOMES DE MELO JÚNIOR
(mat. 277)</t>
  </si>
  <si>
    <t>Ata de Registro de Preços n. 001/2024 
(id. 0543039)</t>
  </si>
  <si>
    <t>Registro de preços para ampliação da solução de armazenamento principal (storage) NETAPP FAS9000 do CJF.</t>
  </si>
  <si>
    <t>Portaria 099/2024
(id. 0551889)</t>
  </si>
  <si>
    <t>Gestor da Ata</t>
  </si>
  <si>
    <t>Ata de Registro de Preços CJF N. 009/2024
(id. 0549045)</t>
  </si>
  <si>
    <t>Ampliação da solução de Backup de dados para o CJF e outros TRFs.</t>
  </si>
  <si>
    <t>Portaria 097/2024
(id. 0551587)</t>
  </si>
  <si>
    <t>Contrato n. 033/2023
(id. 0537214)</t>
  </si>
  <si>
    <t>Portaria 006/2024
(id. 0540328)</t>
  </si>
  <si>
    <t>Contrato CJF N. 006/2024
(id. 0558348)</t>
  </si>
  <si>
    <t>Ampliação da solução de armazenamento principal NETAPP FAS9000 do Conselho da Justiça Federal - CJF.</t>
  </si>
  <si>
    <t>Portaria 153/2024
(id. 0560427)</t>
  </si>
  <si>
    <t>Contrato CJF n. 025/2024 (0604841)</t>
  </si>
  <si>
    <t>subscrições de suporte e garantia para solução de virtualização vmware</t>
  </si>
  <si>
    <t>Portaria CJF N. 431 (0610510)</t>
  </si>
  <si>
    <t>Contrato CJF n. 031/2024
(id. 0642388)</t>
  </si>
  <si>
    <t>Portaria CJF N. 031/2024
(0647419)</t>
  </si>
  <si>
    <t>RAYMILAM MELO DA SILVA</t>
  </si>
  <si>
    <r>
      <rPr>
        <b/>
        <sz val="16"/>
        <color theme="0"/>
        <rFont val="Calibri"/>
        <family val="2"/>
        <scheme val="minor"/>
      </rPr>
      <t xml:space="preserve">PORTARIAS DE NOMEAÇÕES DE GESTORES E FISCAIS DE CONTRATOS ADMINISTRATIVOS - ANO 2025
</t>
    </r>
    <r>
      <rPr>
        <sz val="16"/>
        <color theme="0"/>
        <rFont val="Calibri"/>
        <family val="2"/>
        <scheme val="minor"/>
      </rPr>
      <t>Contratos sob gestão da Secretaria de tecnologia da Informação - STI</t>
    </r>
  </si>
  <si>
    <t>Contrato CJF 003/2022
(id. 0323247)</t>
  </si>
  <si>
    <t>Serviço de manutenção preventiva e corretiva dos relógios biométricos Henry Primme SF Ponto Bio</t>
  </si>
  <si>
    <t>Portaria 056/2025
(0674278)</t>
  </si>
  <si>
    <t>CRISTIELI DA SILVA CALADO DE BRITO
(mat. 912)</t>
  </si>
  <si>
    <t>Contrato CJF 010/2020
(id. 0117320)</t>
  </si>
  <si>
    <t>contratação de empresa especializada para prestação de serviços de suporte técnico e garantia, bem como a atualização de software, para o sistema de Telefonia IP (Avaya)</t>
  </si>
  <si>
    <t>Portaria 572/2025
(0761976)</t>
  </si>
  <si>
    <t>VALDICK DE CALDAS BRAGA
(mat. 1058)</t>
  </si>
  <si>
    <t>VIVIANE BARROS AVILA MAIA
(mat. 1142)</t>
  </si>
  <si>
    <t>Contrato CJF N. 006/2024 (0558348)</t>
  </si>
  <si>
    <t>Ampliação da solução de armazenamento principal NETAPP FAS9000</t>
  </si>
  <si>
    <t>Portaria 673/2025
(0782310)</t>
  </si>
  <si>
    <t>Contrato CJF N. 030/2022 (0405074)</t>
  </si>
  <si>
    <t>Serviço técnico de sustentação do ambiente de infraestrutura de TI</t>
  </si>
  <si>
    <t>Portaria 681/2025
(0783965)</t>
  </si>
  <si>
    <t>Contrato CJF n. 038/2024 (0654742)</t>
  </si>
  <si>
    <t>Contrato CJF N. 009/2023 (0422496)</t>
  </si>
  <si>
    <t>Extensão de garantia do fabricante, serviços de atualização e suporte técnico do equipamento appliance Dell DD6800</t>
  </si>
  <si>
    <t>Portaria 677/2025
(0782664)</t>
  </si>
  <si>
    <t>Contrato CJF n. 037/2024 (0652214)</t>
  </si>
  <si>
    <t>Licenças de software mysql enterprise edition</t>
  </si>
  <si>
    <t>Portaria 046/2025
(0674177)</t>
  </si>
  <si>
    <t>Contrato CJF N. 022/2023 (0498012)</t>
  </si>
  <si>
    <t>Suporte técnico dos servidores de rede em lâmina (tipo blade)</t>
  </si>
  <si>
    <t>Portaria 558/2025
(0760911)</t>
  </si>
  <si>
    <t>Contrato CJF N. 019/2022 (0370794)</t>
  </si>
  <si>
    <t>Comunicação de dados para conexão da rede do CJF à Internet com saída pelo STJ</t>
  </si>
  <si>
    <t>Portaria 676/2025
(0782604)</t>
  </si>
  <si>
    <t>Subscrições de suporte e garantia para solução de virtualização vmware</t>
  </si>
  <si>
    <t>Portaria 586/2025
(0765358)</t>
  </si>
  <si>
    <t>Contrato de Adesão SERPRO INFOVIA (0648538)</t>
  </si>
  <si>
    <t>INFOVIA</t>
  </si>
  <si>
    <t>Portaria 685/2025
(0784695)</t>
  </si>
  <si>
    <t>Contrato CJF N. 029/2020 (0185430)</t>
  </si>
  <si>
    <t>Comunicação de dados (internet e MPLS), com vistas à interligação da Sede do Conselho da Justiça Federal (CJF) com os Sites Remotos (SR) da Nuvem Privada da Justiça Federal (NUJUFE)</t>
  </si>
  <si>
    <t>Portaria 674/2025
(id. 0782566)</t>
  </si>
  <si>
    <t>Contrato CJF N. 007/2024 (0559726)</t>
  </si>
  <si>
    <t>Aquisição de solução de backup de dados</t>
  </si>
  <si>
    <t>Portaria 680/2025
(0783250)</t>
  </si>
  <si>
    <t>Contrato CTR CJF N. 016/2020 - TELECOM (0150962)
Contrato CTR CJF N. 017/2020 - NETWORLD (0150965)</t>
  </si>
  <si>
    <t>Comunicação de dados para conexão da rede</t>
  </si>
  <si>
    <t>Portaria 672/2025
(0784255)</t>
  </si>
  <si>
    <t>RICARDO BERNARDES DOS SANTOS 
(mat.1175)</t>
  </si>
  <si>
    <t>Contrato CJF N. 045/2021 (0294971)</t>
  </si>
  <si>
    <t>Portaria 069/2025
(0675310)</t>
  </si>
  <si>
    <t>0004108-15.2020.4.90.8000</t>
  </si>
  <si>
    <t>Contrato CJF N. 025/2021 (0263353)</t>
  </si>
  <si>
    <t>Serviços de assistência técnica para equipamentos pertencentes à solução do ambiente físico seguro e seus subsistemas, do tipo Sala-Cofre Modular do CJF.</t>
  </si>
  <si>
    <t>Portaria 679/2025
(0783242)</t>
  </si>
  <si>
    <t>Ata de Registro de Preços CJF n. 006/2025
(0677588)</t>
  </si>
  <si>
    <t>Portaria 096/2025 (0680804)</t>
  </si>
  <si>
    <t>MARCELO SARAIVA FREITAS
(mat. 1115)</t>
  </si>
  <si>
    <t>Contrato n. 002/2020-CJF</t>
  </si>
  <si>
    <t>Prestação continuada dos serviços de técnico de sustentação do ambiente de Tecnologia da Informação (TI) do Conselho da Justiça Federal - CJF.</t>
  </si>
  <si>
    <t>Portaria 086/2025
(0677903)</t>
  </si>
  <si>
    <t>Contrato n. 008/2020-CJF</t>
  </si>
  <si>
    <t>Contratação de Serviços Gerenciados de Segurança da Informação para o Conselho de Justiça Federal</t>
  </si>
  <si>
    <t>0001561-97.2021.4.90.8000</t>
  </si>
  <si>
    <t>Contrato n. 039/2021-CJF</t>
  </si>
  <si>
    <t>Prestação de serviços contínuos de limpeza, copeiragem, recepção, secretariado, mensageria e reprografia, nas instalações físicas da sede do Conselho da Justiça Federal.</t>
  </si>
  <si>
    <t>0002913-11.2022.4.90.8000</t>
  </si>
  <si>
    <t>Contrato n. 027/2023-CJF</t>
  </si>
  <si>
    <t>Prestação de serviços terceirizados de apoio técnico especializado, em caráter subsidiário, com execução realizada mediante alocação de mão de obra exclusiva para operacionalização de serviços gráficos.</t>
  </si>
  <si>
    <t>Contrato n. 010/2023-CJF</t>
  </si>
  <si>
    <t>0004481-11.2020.4.90.8000.</t>
  </si>
  <si>
    <t>Contrato n. 050/2021-CJF</t>
  </si>
  <si>
    <t>Solução de gerenciamento de acesso privilegiado (Privileged Access Management - PAM), para proteção dos ambientes computacionais do Conselho da Justiça Federal - CJF, contemplando o licenciamento perpétuo de software e o fornecimento de equipamento(s), serviços de instalação e configuração, transferência de conhecimento, suporte técnico mensal e garantia para 48 (quarenta e oito) meses.</t>
  </si>
  <si>
    <t>Contrato n. 022/2022-CJF</t>
  </si>
  <si>
    <t>Subscrição de serviço de suporte prioritário do sistema operacional SUSE Linux e da ferramenta de gerenciamento centralizado SUSE Manager, com atualização de versão.</t>
  </si>
  <si>
    <t>Contrato n. 020/2023-CJF</t>
  </si>
  <si>
    <t>Contratação de subscrição de ferramenta de gerenciamento de ciclo de vida de software GitLab Ultimate para atendimento ao desenvolvimento e manutenção de software do Conselho da Justiça Federal - CJF e Justiça Federal de 1º e 2º graus, incluindo suporte e garantia.</t>
  </si>
  <si>
    <t>Contrato n. 028/2020-CJF</t>
  </si>
  <si>
    <t>Prestação de serviço de distribuição de informações de cadastro na tecnologia Blockchain como Serviço – BcaaS, para acesso a dados do Cadastro Nacional de Pessoas Jurídicas, intitulada b-CNPJ da Receita Federal do Brasil – RFB.</t>
  </si>
  <si>
    <t>Contrato n. 031/2020-CJF</t>
  </si>
  <si>
    <t>Prestação de serviços de suporte especializado ao produto (“Product Support”) e atualização de versão de software (“Software Updates”) do fabricante.</t>
  </si>
  <si>
    <t>Contrato n. 024/2023-CJF</t>
  </si>
  <si>
    <t>Contratação de empresa especializada para o fornecimento de subscrições de software corporativo de código aberto do tipo plataforma de contêineres, sistemas operacionais e servidores de aplicação da RedHat, com suporte e garantia de atualização de versões; subscrições de treinamento oficial e de serviços de gerenciamento técnico de conta da RedHat e serviços técnicos especializados da RedHat.</t>
  </si>
  <si>
    <t>Portaria 708/2025
(0789637)</t>
  </si>
  <si>
    <t>Contrato n. 029/2023-CJF</t>
  </si>
  <si>
    <t>Contratação de licenças de softwares de Design Gráfico, com direito de atualização e suporte</t>
  </si>
  <si>
    <t xml:space="preserve">Portaria nº CJF Nº 627 (0772856)
</t>
  </si>
  <si>
    <t>Contrato n. 021/2023-CJF</t>
  </si>
  <si>
    <t>Contratação de empresa especializada para o fornecimento de subscrições de software corporativo de código aberto do tipo plataforma de contêineres, sistemas operacionais e servidores de aplicação da RedHat, com suporte e garantia de atualização de versões; subscrições de treinamento oficial e de serviços de gerenciamento técnico de conta da RedHat e serviços técnicos especializados da RedHat,</t>
  </si>
  <si>
    <t>Portaria nº CJF Nº 584 (0765267)</t>
  </si>
  <si>
    <t>Contrato CJF n. 034/2024
(0650968)</t>
  </si>
  <si>
    <t>Certificados Digitais</t>
  </si>
  <si>
    <t>Portaria 11 (0669420)</t>
  </si>
  <si>
    <t>Contrato CJF n. 001/2025 (0682958)</t>
  </si>
  <si>
    <t>licenças do software Orçafascio</t>
  </si>
  <si>
    <t>Portaria 142 (0688016)</t>
  </si>
  <si>
    <t>Contrato CJF n. 015/2025 (0717646)</t>
  </si>
  <si>
    <t>Service Desk</t>
  </si>
  <si>
    <t>Portaria 311 (0722056)</t>
  </si>
  <si>
    <t>André Conterato Brasiliano da Costa
(mat. 1103)</t>
  </si>
  <si>
    <t>Termo aditivo IV T.A. (0721793)</t>
  </si>
  <si>
    <t>Serviços gerenciados de segurança cibernética</t>
  </si>
  <si>
    <t>Portaria n. 350/2025
(0731688)</t>
  </si>
  <si>
    <t>Contrato CJF n. 023/2025 (0743255)</t>
  </si>
  <si>
    <t>Portaria n. 445/2025
(0745982)</t>
  </si>
  <si>
    <t>Contrato CJF 014/2024
(id. 0565666)</t>
  </si>
  <si>
    <t>Solução de Segurança de TI para proteção de servidores de rede, estações de trabalho (endpoint), serviço de e-mail e Office 365.</t>
  </si>
  <si>
    <t>Portaria 336/2025
(id. 0729154)</t>
  </si>
  <si>
    <t>NÉLIO ALVES DA SILVA 
(Mat. 999)</t>
  </si>
  <si>
    <t>MURILLO VICTOR PINTO
(Mat. 1153)</t>
  </si>
  <si>
    <t>Contrato n. 026/2025 
(id. 0749251)</t>
  </si>
  <si>
    <t>Portaria 531/2025
(id. 0756837)</t>
  </si>
  <si>
    <t>Contrato n. 033/2025 
(id. 0758033)</t>
  </si>
  <si>
    <t>Portaria 600/2025
(id. 0767341)</t>
  </si>
  <si>
    <t>Contrato n. 034/2025 
(id. 0758500)</t>
  </si>
  <si>
    <t>Solução de governança, compliance, segurança e auditoria de dados não estruturados, incluindo análise e segurança de credenciais de usuários de rede, coleta e correlacionamento de eventos com informações provenientes de análise de dados não estruturados e metadados. 
(Varonis)</t>
  </si>
  <si>
    <t>Portaria 598/2025
(id. 0766979)</t>
  </si>
  <si>
    <t>JEFFERSON COLOMBO XAVIER
(mat. 740)</t>
  </si>
  <si>
    <t>Contrato n. 035/2025 
(id. 0757502)</t>
  </si>
  <si>
    <t>Portaria 686/2025 (id. 0784709)</t>
  </si>
  <si>
    <t>Contrato CJF n. 032/2025 
(id. 0755079)</t>
  </si>
  <si>
    <t>Serviço de suporte técnico mensal para o software Pergamum, com atualização e manutenção preventiva, corretiva, evolutiva e adaptativa</t>
  </si>
  <si>
    <t>Portaria 660/2025 (id. 0778119)</t>
  </si>
  <si>
    <t>MARIA APARECIDA DE ASSIS MARK 
(mat.640)</t>
  </si>
  <si>
    <t>TÂNIA CRISTINA DE OLIVEIRA
(mat.892)</t>
  </si>
  <si>
    <t>RAYMILAM MELO DA SILVA
(mat.1002)</t>
  </si>
  <si>
    <t>CAIO VINICIUS SANT'ANNA DE CARVALHO
(mat.1092)</t>
  </si>
  <si>
    <t>Contrato CJF n. 038/2025 
(id. 0779918)</t>
  </si>
  <si>
    <t xml:space="preserve"> Fornecimento de notebooks,  incluindo assistência técnica da garantia.
HP BRASIL INDÚSTRIA E COMÉRCIO DE EQUIPAMENTOS ELETRÔNICOS LTDA</t>
  </si>
  <si>
    <t>Portaria 744/2025 (id. 0796234)</t>
  </si>
  <si>
    <t>Contrato CJF n. 039/2025 
(id. 0779646)</t>
  </si>
  <si>
    <t>Portaria 743/2025 (id. 0796238)</t>
  </si>
  <si>
    <t>Contrato CJF n. 040/2025 
(id. 0780580)</t>
  </si>
  <si>
    <t xml:space="preserve"> Fornecimento de Microcomputador Tipo I, incluindo assistência técnica da garantia.
HP BRASIL INDÚSTRIA E COMÉRCIO DE EQUIPAMENTOS ELETRÔNICOS LTDA</t>
  </si>
  <si>
    <t>Portaria 745/2025 (id. 0796238)</t>
  </si>
  <si>
    <t>Contrato CJF n. 041/2025 
(id. 0779651)</t>
  </si>
  <si>
    <t>Portaria 682/2025 (id. 0783993)</t>
  </si>
  <si>
    <t>ANDRÉ CONTERATO BRASILIANO COSTA
(mat. 1103)</t>
  </si>
  <si>
    <t>Portaria 707/2025 (id. 0789634)</t>
  </si>
  <si>
    <t>Contrato 044/2025 
(id. 0792780)</t>
  </si>
  <si>
    <t>Fornecimento de solução tecnológica de Controlador de Entrega de Aplicações (Application Delivery Controller – ADC)</t>
  </si>
  <si>
    <t>Portaria 759/2025
(id. 0799693)</t>
  </si>
  <si>
    <t>Contrato 045/2025 
(id. 0797176)</t>
  </si>
  <si>
    <t>Prestação de serviço de suporte técnico e atualização de licenças para equipamentos e software da solução Cisco SmartNet</t>
  </si>
  <si>
    <t>Portaria 787/2025
(id. 0803853)</t>
  </si>
  <si>
    <t>Contrato 049/2025
(id. 0805575)</t>
  </si>
  <si>
    <t>Contratação NACIONAL de empresa especializada para o fornecimento de subscrição Elastic Cloud Enterprise, com suporte e garantia de atualização de versões; com serviço de implantação, serviços técnicos especializados e treinamento oficial</t>
  </si>
  <si>
    <t>Portaria 807/2025
(id. 0807903)</t>
  </si>
  <si>
    <r>
      <rPr>
        <b/>
        <sz val="16"/>
        <color rgb="FFFFFFFF"/>
        <rFont val="Calibri"/>
        <scheme val="minor"/>
      </rPr>
      <t xml:space="preserve">PORTARIAS DE NOMEAÇÕES DE GESTORES E FISCAIS DE CONTRATOS ADMINISTRATIVOS - ANO 2026
</t>
    </r>
    <r>
      <rPr>
        <sz val="16"/>
        <color rgb="FFFFFFFF"/>
        <rFont val="Calibri"/>
        <scheme val="minor"/>
      </rPr>
      <t>Contratos sob gestão da Secretaria de Tecnologia da Informação - STI</t>
    </r>
  </si>
  <si>
    <t>Contrato 053/2025
(id. 0811505)</t>
  </si>
  <si>
    <t>Prestação de serviços de atualização de versão de software (“Software Updates”), suporte especializado ao produto (“Product Support”), incluindo suporte avançado (“Priority Support”) do fabricante, dos produtos Oracle licenciados para o Conselho da Justiça Federal – CJF</t>
  </si>
  <si>
    <t>Portaria 12/2026
(id. 0814073)</t>
  </si>
  <si>
    <t>Aquisição de licenças do software Orçafascio destinado à elaboração de orçamento de obras e serviços</t>
  </si>
  <si>
    <t>Portaria 16/2026
(id. 0814754)</t>
  </si>
  <si>
    <t>Contrato 001/2025 (0682958)</t>
  </si>
  <si>
    <t>Portaria 17/2026 
(id. 0814787)</t>
  </si>
  <si>
    <t>Contrato 029/2023
(id. 0814797)</t>
  </si>
  <si>
    <t xml:space="preserve">Portaria 18/2026 
(id. 0814797)
</t>
  </si>
  <si>
    <t>Contrato 031/2023</t>
  </si>
  <si>
    <t>Contratação de licenças do software AUTODESK AEC - Architecture, Engineering and Construction Collection</t>
  </si>
  <si>
    <t>Portaria 20/2026
(id. 0814824)</t>
  </si>
  <si>
    <t>Contrato 023/2025 
(id. 0743255)</t>
  </si>
  <si>
    <t>Portaria 22/2026
(id. 0814993)</t>
  </si>
  <si>
    <t>Contrato 026/2021</t>
  </si>
  <si>
    <t>Prestação de serviços de impressão distribuída (outsourcing de impressão), pelo prazo de 60 (sessenta) meses, incluindo a disponibilização de equipamentos novos e de primeiro uso, manutenção preventiva e corretiva, suporte técnico, fornecimento de software de gerenciamento de bilhetagem, peças e suprimentos</t>
  </si>
  <si>
    <t>Portaria 23/2026
(id. 0815007)</t>
  </si>
  <si>
    <t>Contrato 033/2023</t>
  </si>
  <si>
    <t>Aquisição de computadores do tipo workstation de alto desempenho, com suporte técnico e garantia de 60 (sessenta) meses</t>
  </si>
  <si>
    <t>Portaria 24/2026
(id. 0815008)</t>
  </si>
  <si>
    <t>Contrato 019/2023</t>
  </si>
  <si>
    <t>Contratação de subscrições da Microsoft, (softwares aplicativos, banco de dados e sistemas operacionais) destinados aos equipamentos servidores e estações de trabalho do Conselho da Justiça Federal (CJF)</t>
  </si>
  <si>
    <t>Portaria 25/2026
(id. 0815023)</t>
  </si>
  <si>
    <t>Contrato 026/2025
(id. 0749251)</t>
  </si>
  <si>
    <t xml:space="preserve"> Fornecimento de 10 licenças da Plataforma Zoom Business e 1 licença da Plataforma Zoom Events para 1.000 Usuários.</t>
  </si>
  <si>
    <t>Portaria 27/2026
(id. 0815053)</t>
  </si>
  <si>
    <t>Contrato 022/2021
(id. 0242876)</t>
  </si>
  <si>
    <t xml:space="preserve"> Prestação do serviço de emissão de certificados digitais, do tipo A1, padrão Internacional, para atender as necessidades do Conselho da Justiça Federal – CJF</t>
  </si>
  <si>
    <t>Portaria 28/2026
(id. 0815057)</t>
  </si>
  <si>
    <t>NELIO ALVES DA SILVA
(mat. 999)</t>
  </si>
  <si>
    <t>Contratação NACIONAL de empresa especializada para o fornecimento de subscrição Elastic Cloud Enterprise, com suporte e garantia de atualização de versões; com serviço de implantação, serviços técnicos especializados e treinamento oficial, pelo período de 24 (vinte e quatro) meses, com regime de execução de Empreitada por Preço Unitário (EPU)</t>
  </si>
  <si>
    <t>Portaria 37/2026
(id. 0816140)</t>
  </si>
  <si>
    <t>Contrato 1/2025</t>
  </si>
  <si>
    <t>Aquisição de licenças do software Orçafascio destinado à elaboração de orçamento de obras e serviços, devendo contemplar os módulos: Orçamento, Bases Adicionais, OrçaBim, Medição de obras e Diário de Obras</t>
  </si>
  <si>
    <t>Portaria 53/2026
(id. 0819512)</t>
  </si>
  <si>
    <t>Contrato 15/2025</t>
  </si>
  <si>
    <t>Prestação do serviço técnico de operação de central de atendimento a usuários (Service Desk) no ambiente de Tecnologia da Informação (TI) do Conselho da Justiça Federal – CJF, englobando os serviços de supervisão das equipes de atendimento remoto e presencial (Responsável Técnico), gestão de incidentes, requisições de serviço e documentação técnica, atendimento e suporte de 1º nível (remoto), de 2º nível (presencial) e serviço de sustentação da central de serviços</t>
  </si>
  <si>
    <t>Portaria 62/2026
(id. 0820257)</t>
  </si>
  <si>
    <t>Contrato 25/2021</t>
  </si>
  <si>
    <t>Prestação dos serviços de assistência técnica para equipamentos pertencentes à solução do ambiente físico seguro e seus subsistemas, do tipo Sala-Cofre Modular, do Conselho da Justiça Federal, abrangendo manutenção preventiva programada, corretiva e evolutiva de software, monitoramento e suporte técnico, com substituição de peças, componentes e equipamentos, bem como a manutenção das certificações ABNT NBR 15247 e NBR 60529 com o grau de proteção IP67</t>
  </si>
  <si>
    <t>Portaria 97/2026
(id. 0827957)</t>
  </si>
  <si>
    <t>Contrato 008/2026
(id. 0831338)</t>
  </si>
  <si>
    <t>Contratação de empresa especializada no fornecimento de Solução de Proteção de Rede Perimetral - Período de 60 meses, da empresa Fabricante Fortinet, incluída a Subscrição de todas as Licenças do Conjunto de Funcionalidades, serviços de implantação e transferência de tecnologia, garantia de atualização contínua do sistema operacional e suporte técnico de instalação durante o período de garantia</t>
  </si>
  <si>
    <t>Portaria 118/2026
(0835225)</t>
  </si>
  <si>
    <t>Contrato 003/2026
(id. 0822031)</t>
  </si>
  <si>
    <t>Lote 1
Item 1 - Serviço de acesso IP para Internet com largura de banda mínima de 2.000 Mbps 
Item 2 - Serviço Anti-DDoS do Item 1</t>
  </si>
  <si>
    <t>Portaria 162/2026
(0844841)</t>
  </si>
  <si>
    <t>Contrato 004/2026
(id. 0822899)</t>
  </si>
  <si>
    <t>Lote 2
Item 3 - Serviço de acesso IP para Internet com largura de banda mínima de 2.000 Mbps.
Item 4 - Serviço Anti-DDoS do Item 3</t>
  </si>
  <si>
    <t>Contrato 005/2026
(id. 0822900)</t>
  </si>
  <si>
    <t>Lote 3
Item 5 - Serviço de acesso IP para Internet com largura de banda mínima de 2.000 Mbps, com saída no STJ
Item 6 - Serviço Anti-DDoS do Item 5</t>
  </si>
  <si>
    <t>Contrato 010/2026
(id. 0833926)</t>
  </si>
  <si>
    <t>Fornecimento de manutenção e atualização de licenças, novas licenças, serviços de implantação, serviços técnico profissionais e suporte técnico especializado para solução de gerenciamento de acesso privilegiado (PAM - Privileged Access Management) Senha Segura, da fabricante MT4 Tecnologia.</t>
  </si>
  <si>
    <t>Portaria 133/2026
(0840153)</t>
  </si>
  <si>
    <t>Contrato 029/2020
(id. 0185430)</t>
  </si>
  <si>
    <t>Prestação de serviços de comunicação de dados (internet e MPLS), com vistas à interligação da Sede do Conselho da Justiça Federal (CJF) com os Sites Remotos (SR) da Nuvem Privada da Justiça Federal (NUJUFE), incluindo o fornecimento, a instalação e a configuração de equipamentos e enlaces de comunicação e o gerenciamento proativo contra falhas</t>
  </si>
  <si>
    <t>Portaria 149/2026
(0843310)</t>
  </si>
  <si>
    <t>Contrato 006/2024
(id. 0558348)</t>
  </si>
  <si>
    <t>Ampliação da solução de armazenamento principal NETAPP FAS9000 do Conselho da Justiça Federal - CJF e aquisição de solução de armazenamento de contingência do CJF, do fabricante NETAPP</t>
  </si>
  <si>
    <t>Portaria 150/2026
(0843433)</t>
  </si>
  <si>
    <t>Contrato 019/2022
(id. 0370794)</t>
  </si>
  <si>
    <t>Prestação de serviços de comunicação de dados para conexão da rede do CJF à Internet com saída pelo STJ</t>
  </si>
  <si>
    <t>Portaria 151/2026
(0843457)</t>
  </si>
  <si>
    <t>Contrato 016/2020</t>
  </si>
  <si>
    <t>a) Prestação de serviços de comunicação de dados para conexão de rede do CONTRATANTE à Internet, compreendendo serviços de instalação, configuração e ativação dos circuitos; serviço de monitoramento dos circuitos; aluguel em comodato de roteador, suporte técnico, conforme condições e especificações detalhadas no contrato e no termo de Referência  (Item 1 do Lote 1).
b) Prestação de serviço de proteção contra ataques distribuídos de negação de serviço (anti-DDoS), sob demanda. (Item 2 Lote 1).</t>
  </si>
  <si>
    <t>Portaria 153/2026
(0843514)</t>
  </si>
  <si>
    <t>Contrato 017/2020</t>
  </si>
  <si>
    <t>a) Prestação de serviços de comunicação de dados para conexão da rede do CONTRATANTE à Internet, compreendendo serviços de instalação, configuração e ativação dos circuitos; serviço de monitoramento dos circuitos; aluguel em comodato de roteador, suporte técnico, conforme condições e especificações detalhadas no contrato e no Termo de Referência  (Item 3 do Lote 2).
b) Prestação de serviço de proteção contra ataques distribuídos de negação de serviço (anti-DDoS), sob demanda (Item 4 do Lote 2).</t>
  </si>
  <si>
    <t>Contrato 007/2024
(id. 0559726)</t>
  </si>
  <si>
    <t>Aquisição de solução de backup de dados contemplando a subscrição de licenciamento de software e o fornecimento de equipamento(s), serviços de instalação e configuração, transferência de conhecimento, suporte técnico mensal e garantia para 60 (sessenta) meses.</t>
  </si>
  <si>
    <t>Portaria 154/2026
(0843629)</t>
  </si>
  <si>
    <t>Contrato 025/2021
(id. 0263353)</t>
  </si>
  <si>
    <t>Portaria 157/2026
(0843944)</t>
  </si>
  <si>
    <t>Contrato 009/2023
(id. 0422496)</t>
  </si>
  <si>
    <t>Contratação de empresa especializada em extensão de garantia do fabricante, serviços de atualização e suporte técnico do equipamento appliance Dell DD6800 e seus componentes, manutenção corretiva e preventiva da solução de backup existente, incluindo substituição de equipamentos e peças</t>
  </si>
  <si>
    <t>Portaria 159/2026
(0844361)</t>
  </si>
  <si>
    <t>Contrato 025/2024
(id. 0604841)</t>
  </si>
  <si>
    <t>Subscrições de suporte e garantia para solução de virtualização VMware, pelo prazo de 36 (trinta e seis) meses, de serviços técnicos especializados, pelo prazo de 12 (doze) meses, para atender às necessidades de manutenção da infraestrutura de virtualização instalada do Conselho da Justiça Federal - CJF</t>
  </si>
  <si>
    <t>Portaria 165/2026
(0845081)</t>
  </si>
  <si>
    <t>Contrato 018/2025
(id. 0726000)</t>
  </si>
  <si>
    <t>Aquisição de computadores servidores, incluindo serviços de instalação, configuração e garantia pelo período de 84 (oitenta e quatro) meses.</t>
  </si>
  <si>
    <t>Portaria 167/2026
(0845088)</t>
  </si>
  <si>
    <t>Contrato 038/2024
(id. 0654742)</t>
  </si>
  <si>
    <t>Aquisição de licenças de subscrição dos softwares de virtualização de servidores, redes e de armazenamento do fabricante VMWARE, garantindo o direito ao suporte técnico, à atualização de versões e de correções de segurança dos produtos junto ao fabricante</t>
  </si>
  <si>
    <t>Portaria 164/2026
(0845080)</t>
  </si>
  <si>
    <t>Contrato 035/2025
(id. 0758033)</t>
  </si>
  <si>
    <t>Aquisição de licenças de subscrição dos softwares de virtualização de servidores, redes e de armazenamento do fabricante VMWARE, garantindo o direito ao suporte técnico, à atualização de versões e de correções de segurança dos produtos junto ao fabricante.</t>
  </si>
  <si>
    <t>Portaria 166/2026
(0845083)</t>
  </si>
  <si>
    <t>Contrato 045/2025
(id. 0797176)</t>
  </si>
  <si>
    <t>Prestação de serviço de suporte técnico e atualização de licenças para equipamentos e software da solução Cisco SmartNet, por 24 (vinte e quatro) meses</t>
  </si>
  <si>
    <t>Portaria 160/2026
(0844374)</t>
  </si>
  <si>
    <t>PORTARIAS DE NOMEAÇÕES DE GESTORES DE ACORDOS CORPORATIVOS</t>
  </si>
  <si>
    <t>Acordo</t>
  </si>
  <si>
    <t>0001956-15.2023.4.90.8000</t>
  </si>
  <si>
    <t>Acordo Corporativo n. 8/2020 - ME/CJF/Microsoft
(0486516)</t>
  </si>
  <si>
    <t>Utilização da listagem de produtos e serviços e respectivos valores de referência, estabelecidos conforme os termos e as condições do referido acordo em processos de contratação, prorrogação ou renovação contratual que englobem os produtos ou serviços da Microsoft enumerados em seus anexos.</t>
  </si>
  <si>
    <t>Portaria 192 (0699074)</t>
  </si>
  <si>
    <t>Gestor do Acordo</t>
  </si>
  <si>
    <t>PAULO MARTINS INOCÊNCIO
(mat. )</t>
  </si>
  <si>
    <t>MARCELO SARAIVA DE FREITAS
(mat. )</t>
  </si>
  <si>
    <t>SEATEN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</si>
</sst>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12529"/>
      <name val="Roboto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22"/>
      <color theme="1"/>
      <name val="Calibri"/>
      <family val="2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rgb="FFFF0000"/>
      <name val="Times New Roman"/>
      <family val="1"/>
    </font>
    <font>
      <b/>
      <sz val="11"/>
      <color theme="0"/>
      <name val="Calibri"/>
      <family val="2"/>
      <scheme val="minor"/>
    </font>
    <font>
      <b/>
      <sz val="22"/>
      <color theme="1"/>
      <name val="Times New Roman"/>
      <family val="1"/>
    </font>
    <font>
      <sz val="12"/>
      <color rgb="FF000000"/>
      <name val="Times New Roman"/>
    </font>
    <font>
      <i/>
      <sz val="12"/>
      <color rgb="FF000000"/>
      <name val="Times New Roman"/>
    </font>
    <font>
      <sz val="11"/>
      <color rgb="FF000000"/>
      <name val="Times New Roman"/>
    </font>
    <font>
      <sz val="10"/>
      <color rgb="FF212529"/>
      <name val="Roboto"/>
    </font>
    <font>
      <b/>
      <sz val="16"/>
      <color rgb="FFFFFFFF"/>
      <name val="Calibri"/>
      <scheme val="minor"/>
    </font>
    <font>
      <sz val="16"/>
      <color rgb="FFFFFFFF"/>
      <name val="Calibri"/>
      <scheme val="minor"/>
    </font>
    <font>
      <sz val="10"/>
      <color theme="1"/>
      <name val="Calibri"/>
      <family val="2"/>
      <scheme val="minor"/>
    </font>
    <font>
      <i/>
      <sz val="11"/>
      <color rgb="FF000000"/>
      <name val="Times New Roman"/>
    </font>
    <font>
      <b/>
      <sz val="12"/>
      <color theme="4"/>
      <name val="Calibri"/>
      <family val="2"/>
      <scheme val="minor"/>
    </font>
    <font>
      <b/>
      <sz val="22"/>
      <color rgb="FFFFFF00"/>
      <name val="Calibri"/>
      <family val="2"/>
      <scheme val="minor"/>
    </font>
    <font>
      <sz val="11"/>
      <color theme="1"/>
      <name val="Times New Roman"/>
    </font>
  </fonts>
  <fills count="1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151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492">
    <xf numFmtId="0" fontId="0" fillId="0" borderId="0" xfId="0"/>
    <xf numFmtId="0" fontId="0" fillId="0" borderId="2" xfId="0" applyBorder="1" applyAlignment="1">
      <alignment horizontal="center" vertical="center" wrapText="1"/>
    </xf>
    <xf numFmtId="164" fontId="5" fillId="0" borderId="0" xfId="0" applyNumberFormat="1" applyFont="1"/>
    <xf numFmtId="164" fontId="0" fillId="0" borderId="0" xfId="0" applyNumberFormat="1"/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6" fillId="7" borderId="29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6" fillId="6" borderId="34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6" fillId="6" borderId="41" xfId="0" applyFont="1" applyFill="1" applyBorder="1" applyAlignment="1">
      <alignment horizontal="center" vertical="center" wrapText="1"/>
    </xf>
    <xf numFmtId="0" fontId="6" fillId="6" borderId="4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7" borderId="44" xfId="0" applyFont="1" applyFill="1" applyBorder="1" applyAlignment="1">
      <alignment horizontal="center" vertical="center" wrapText="1"/>
    </xf>
    <xf numFmtId="0" fontId="6" fillId="6" borderId="45" xfId="0" applyFont="1" applyFill="1" applyBorder="1" applyAlignment="1">
      <alignment horizontal="center" vertical="center" wrapText="1"/>
    </xf>
    <xf numFmtId="0" fontId="6" fillId="5" borderId="46" xfId="0" applyFont="1" applyFill="1" applyBorder="1" applyAlignment="1">
      <alignment horizontal="center" vertical="center"/>
    </xf>
    <xf numFmtId="0" fontId="6" fillId="5" borderId="46" xfId="0" applyFont="1" applyFill="1" applyBorder="1" applyAlignment="1">
      <alignment horizontal="center" vertical="center" wrapText="1"/>
    </xf>
    <xf numFmtId="0" fontId="6" fillId="6" borderId="47" xfId="0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 wrapText="1"/>
    </xf>
    <xf numFmtId="0" fontId="6" fillId="6" borderId="49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22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0" fillId="0" borderId="11" xfId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10" fillId="0" borderId="12" xfId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6" fillId="6" borderId="60" xfId="0" applyFont="1" applyFill="1" applyBorder="1" applyAlignment="1">
      <alignment horizontal="center" vertical="center" wrapText="1"/>
    </xf>
    <xf numFmtId="0" fontId="6" fillId="6" borderId="61" xfId="0" applyFont="1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 wrapText="1"/>
    </xf>
    <xf numFmtId="0" fontId="6" fillId="5" borderId="26" xfId="0" applyFont="1" applyFill="1" applyBorder="1" applyAlignment="1">
      <alignment horizontal="center" vertical="center"/>
    </xf>
    <xf numFmtId="0" fontId="6" fillId="5" borderId="30" xfId="0" applyFont="1" applyFill="1" applyBorder="1" applyAlignment="1">
      <alignment horizontal="center" vertical="center" wrapText="1"/>
    </xf>
    <xf numFmtId="0" fontId="6" fillId="5" borderId="32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/>
    </xf>
    <xf numFmtId="0" fontId="16" fillId="2" borderId="5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6" fillId="11" borderId="22" xfId="0" applyFont="1" applyFill="1" applyBorder="1" applyAlignment="1">
      <alignment horizontal="center" vertical="center"/>
    </xf>
    <xf numFmtId="0" fontId="6" fillId="11" borderId="25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7" fillId="5" borderId="46" xfId="0" applyFont="1" applyFill="1" applyBorder="1" applyAlignment="1">
      <alignment horizontal="center" vertical="center"/>
    </xf>
    <xf numFmtId="0" fontId="6" fillId="5" borderId="66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67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/>
    </xf>
    <xf numFmtId="0" fontId="5" fillId="0" borderId="0" xfId="0" applyFont="1"/>
    <xf numFmtId="0" fontId="11" fillId="9" borderId="21" xfId="0" applyFont="1" applyFill="1" applyBorder="1" applyAlignment="1">
      <alignment vertical="center"/>
    </xf>
    <xf numFmtId="0" fontId="0" fillId="0" borderId="22" xfId="0" applyBorder="1"/>
    <xf numFmtId="0" fontId="7" fillId="7" borderId="1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23" fillId="13" borderId="4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58" xfId="0" applyFont="1" applyBorder="1" applyAlignment="1">
      <alignment horizontal="center" vertical="center" wrapText="1"/>
    </xf>
    <xf numFmtId="14" fontId="22" fillId="0" borderId="2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4" fontId="22" fillId="0" borderId="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14" fontId="24" fillId="0" borderId="2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4" fontId="24" fillId="0" borderId="2" xfId="0" applyNumberFormat="1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4" fontId="25" fillId="0" borderId="2" xfId="0" applyNumberFormat="1" applyFont="1" applyBorder="1" applyAlignment="1">
      <alignment horizontal="center" vertical="center"/>
    </xf>
    <xf numFmtId="0" fontId="7" fillId="0" borderId="0" xfId="0" applyFont="1"/>
    <xf numFmtId="0" fontId="20" fillId="0" borderId="2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/>
    </xf>
    <xf numFmtId="0" fontId="11" fillId="2" borderId="5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 wrapText="1"/>
    </xf>
    <xf numFmtId="0" fontId="10" fillId="0" borderId="76" xfId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 wrapText="1"/>
    </xf>
    <xf numFmtId="0" fontId="10" fillId="0" borderId="70" xfId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5" borderId="81" xfId="0" applyFill="1" applyBorder="1" applyAlignment="1">
      <alignment horizontal="center" vertical="center" wrapText="1"/>
    </xf>
    <xf numFmtId="0" fontId="6" fillId="5" borderId="81" xfId="0" applyFont="1" applyFill="1" applyBorder="1" applyAlignment="1">
      <alignment horizontal="center" vertical="center" wrapText="1"/>
    </xf>
    <xf numFmtId="0" fontId="6" fillId="5" borderId="82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 wrapText="1"/>
    </xf>
    <xf numFmtId="0" fontId="11" fillId="13" borderId="18" xfId="0" applyFont="1" applyFill="1" applyBorder="1" applyAlignment="1">
      <alignment horizontal="center" vertical="center"/>
    </xf>
    <xf numFmtId="0" fontId="11" fillId="13" borderId="57" xfId="0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 wrapText="1"/>
    </xf>
    <xf numFmtId="0" fontId="11" fillId="13" borderId="11" xfId="0" applyFont="1" applyFill="1" applyBorder="1" applyAlignment="1">
      <alignment horizontal="center" vertical="center"/>
    </xf>
    <xf numFmtId="0" fontId="11" fillId="13" borderId="24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center" vertical="center"/>
    </xf>
    <xf numFmtId="0" fontId="0" fillId="0" borderId="8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1" borderId="71" xfId="0" applyFill="1" applyBorder="1" applyAlignment="1">
      <alignment horizontal="center" vertical="center" wrapText="1"/>
    </xf>
    <xf numFmtId="0" fontId="0" fillId="5" borderId="71" xfId="0" applyFill="1" applyBorder="1" applyAlignment="1">
      <alignment horizontal="center" vertical="center" wrapText="1"/>
    </xf>
    <xf numFmtId="0" fontId="6" fillId="5" borderId="71" xfId="0" applyFont="1" applyFill="1" applyBorder="1" applyAlignment="1">
      <alignment horizontal="center" vertical="center" wrapText="1"/>
    </xf>
    <xf numFmtId="0" fontId="0" fillId="6" borderId="71" xfId="0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7" borderId="81" xfId="0" applyFont="1" applyFill="1" applyBorder="1" applyAlignment="1">
      <alignment horizontal="center" vertical="center" wrapText="1"/>
    </xf>
    <xf numFmtId="0" fontId="6" fillId="7" borderId="83" xfId="0" applyFont="1" applyFill="1" applyBorder="1" applyAlignment="1">
      <alignment horizontal="center" vertical="center" wrapText="1"/>
    </xf>
    <xf numFmtId="0" fontId="7" fillId="5" borderId="86" xfId="0" applyFont="1" applyFill="1" applyBorder="1" applyAlignment="1">
      <alignment horizontal="center" vertical="center" wrapText="1"/>
    </xf>
    <xf numFmtId="0" fontId="6" fillId="5" borderId="86" xfId="0" applyFont="1" applyFill="1" applyBorder="1" applyAlignment="1">
      <alignment horizontal="center" vertical="center"/>
    </xf>
    <xf numFmtId="0" fontId="6" fillId="5" borderId="86" xfId="0" applyFont="1" applyFill="1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6" fillId="7" borderId="97" xfId="0" applyFont="1" applyFill="1" applyBorder="1" applyAlignment="1">
      <alignment horizontal="center" vertical="center" wrapText="1"/>
    </xf>
    <xf numFmtId="0" fontId="0" fillId="11" borderId="95" xfId="0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68" xfId="0" applyFont="1" applyFill="1" applyBorder="1" applyAlignment="1">
      <alignment horizontal="center" vertical="center" wrapText="1"/>
    </xf>
    <xf numFmtId="0" fontId="0" fillId="11" borderId="86" xfId="0" applyFill="1" applyBorder="1" applyAlignment="1">
      <alignment horizontal="center" vertical="center" wrapText="1"/>
    </xf>
    <xf numFmtId="0" fontId="6" fillId="5" borderId="77" xfId="0" applyFont="1" applyFill="1" applyBorder="1" applyAlignment="1">
      <alignment horizontal="center" vertical="center" wrapText="1"/>
    </xf>
    <xf numFmtId="0" fontId="6" fillId="5" borderId="78" xfId="0" applyFont="1" applyFill="1" applyBorder="1" applyAlignment="1">
      <alignment horizontal="center" vertical="center" wrapText="1"/>
    </xf>
    <xf numFmtId="0" fontId="6" fillId="6" borderId="72" xfId="0" applyFont="1" applyFill="1" applyBorder="1" applyAlignment="1">
      <alignment horizontal="center" vertical="center" wrapText="1"/>
    </xf>
    <xf numFmtId="0" fontId="6" fillId="6" borderId="71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22" fillId="0" borderId="71" xfId="0" applyFont="1" applyBorder="1" applyAlignment="1">
      <alignment horizontal="center" vertical="center" wrapText="1"/>
    </xf>
    <xf numFmtId="0" fontId="20" fillId="0" borderId="71" xfId="0" applyFont="1" applyBorder="1" applyAlignment="1">
      <alignment horizontal="center" vertical="center" wrapText="1"/>
    </xf>
    <xf numFmtId="14" fontId="0" fillId="0" borderId="71" xfId="0" applyNumberFormat="1" applyBorder="1" applyAlignment="1">
      <alignment horizontal="center" vertical="center"/>
    </xf>
    <xf numFmtId="0" fontId="24" fillId="0" borderId="71" xfId="0" applyFont="1" applyBorder="1" applyAlignment="1">
      <alignment horizontal="center" vertical="center" wrapText="1"/>
    </xf>
    <xf numFmtId="0" fontId="24" fillId="0" borderId="71" xfId="0" applyFont="1" applyBorder="1" applyAlignment="1">
      <alignment horizontal="center" vertical="center"/>
    </xf>
    <xf numFmtId="14" fontId="24" fillId="0" borderId="71" xfId="0" applyNumberFormat="1" applyFont="1" applyBorder="1" applyAlignment="1">
      <alignment horizontal="center" vertical="center" wrapText="1"/>
    </xf>
    <xf numFmtId="0" fontId="0" fillId="0" borderId="95" xfId="0" applyBorder="1" applyAlignment="1">
      <alignment horizontal="center" vertical="center" wrapText="1"/>
    </xf>
    <xf numFmtId="0" fontId="22" fillId="0" borderId="95" xfId="0" applyFont="1" applyBorder="1" applyAlignment="1">
      <alignment horizontal="center" vertical="center" wrapText="1"/>
    </xf>
    <xf numFmtId="0" fontId="20" fillId="0" borderId="95" xfId="0" applyFont="1" applyBorder="1" applyAlignment="1">
      <alignment horizontal="center" vertical="center" wrapText="1"/>
    </xf>
    <xf numFmtId="14" fontId="0" fillId="0" borderId="95" xfId="0" applyNumberFormat="1" applyBorder="1" applyAlignment="1">
      <alignment horizontal="center" vertical="center"/>
    </xf>
    <xf numFmtId="14" fontId="24" fillId="0" borderId="95" xfId="0" applyNumberFormat="1" applyFont="1" applyBorder="1" applyAlignment="1">
      <alignment horizontal="center" vertical="center" wrapText="1"/>
    </xf>
    <xf numFmtId="0" fontId="24" fillId="0" borderId="95" xfId="0" applyFont="1" applyBorder="1" applyAlignment="1">
      <alignment horizontal="center" vertical="center" wrapText="1"/>
    </xf>
    <xf numFmtId="0" fontId="24" fillId="0" borderId="95" xfId="0" applyFont="1" applyBorder="1" applyAlignment="1">
      <alignment horizontal="center" vertical="center"/>
    </xf>
    <xf numFmtId="14" fontId="24" fillId="0" borderId="125" xfId="0" applyNumberFormat="1" applyFont="1" applyBorder="1" applyAlignment="1">
      <alignment horizontal="center" vertical="center" wrapText="1"/>
    </xf>
    <xf numFmtId="0" fontId="22" fillId="0" borderId="126" xfId="0" applyFont="1" applyBorder="1" applyAlignment="1">
      <alignment horizontal="center" vertical="center" wrapText="1"/>
    </xf>
    <xf numFmtId="0" fontId="6" fillId="5" borderId="71" xfId="0" applyFont="1" applyFill="1" applyBorder="1" applyAlignment="1">
      <alignment horizontal="center" vertical="center"/>
    </xf>
    <xf numFmtId="0" fontId="11" fillId="2" borderId="43" xfId="0" applyFont="1" applyFill="1" applyBorder="1" applyAlignment="1">
      <alignment horizontal="center" vertical="center"/>
    </xf>
    <xf numFmtId="0" fontId="34" fillId="0" borderId="0" xfId="0" applyFont="1"/>
    <xf numFmtId="0" fontId="0" fillId="0" borderId="71" xfId="0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7" fillId="0" borderId="71" xfId="0" applyFont="1" applyBorder="1" applyAlignment="1">
      <alignment horizontal="center" vertical="center" wrapText="1"/>
    </xf>
    <xf numFmtId="0" fontId="17" fillId="0" borderId="9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wrapText="1"/>
    </xf>
    <xf numFmtId="14" fontId="0" fillId="0" borderId="71" xfId="0" applyNumberFormat="1" applyBorder="1" applyAlignment="1">
      <alignment horizontal="center" vertical="center" wrapText="1"/>
    </xf>
    <xf numFmtId="14" fontId="0" fillId="0" borderId="95" xfId="0" applyNumberFormat="1" applyBorder="1" applyAlignment="1">
      <alignment horizontal="center" vertical="center" wrapText="1"/>
    </xf>
    <xf numFmtId="14" fontId="24" fillId="0" borderId="6" xfId="0" applyNumberFormat="1" applyFont="1" applyBorder="1" applyAlignment="1">
      <alignment horizontal="center" vertical="center"/>
    </xf>
    <xf numFmtId="14" fontId="0" fillId="0" borderId="0" xfId="0" applyNumberFormat="1"/>
    <xf numFmtId="0" fontId="22" fillId="0" borderId="93" xfId="0" applyFont="1" applyBorder="1" applyAlignment="1">
      <alignment horizontal="center" vertical="center" wrapText="1"/>
    </xf>
    <xf numFmtId="0" fontId="22" fillId="0" borderId="127" xfId="0" applyFont="1" applyBorder="1" applyAlignment="1">
      <alignment horizontal="center" vertical="center" wrapText="1"/>
    </xf>
    <xf numFmtId="0" fontId="24" fillId="0" borderId="128" xfId="0" applyFont="1" applyBorder="1" applyAlignment="1">
      <alignment horizontal="center" vertical="center"/>
    </xf>
    <xf numFmtId="0" fontId="24" fillId="0" borderId="125" xfId="0" applyFont="1" applyBorder="1" applyAlignment="1">
      <alignment horizontal="center" vertical="center"/>
    </xf>
    <xf numFmtId="14" fontId="24" fillId="0" borderId="128" xfId="0" applyNumberFormat="1" applyFont="1" applyBorder="1" applyAlignment="1">
      <alignment horizontal="center" vertical="center" wrapText="1"/>
    </xf>
    <xf numFmtId="0" fontId="36" fillId="15" borderId="71" xfId="0" applyFont="1" applyFill="1" applyBorder="1" applyAlignment="1">
      <alignment horizontal="center" vertical="center" wrapText="1"/>
    </xf>
    <xf numFmtId="0" fontId="37" fillId="15" borderId="95" xfId="0" applyFont="1" applyFill="1" applyBorder="1" applyAlignment="1">
      <alignment horizontal="center" vertical="center" wrapText="1"/>
    </xf>
    <xf numFmtId="0" fontId="23" fillId="13" borderId="71" xfId="0" applyFont="1" applyFill="1" applyBorder="1" applyAlignment="1">
      <alignment horizontal="center" vertical="center" wrapText="1"/>
    </xf>
    <xf numFmtId="0" fontId="23" fillId="13" borderId="71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129" xfId="0" applyFont="1" applyBorder="1" applyAlignment="1">
      <alignment horizontal="center" vertical="center" wrapText="1"/>
    </xf>
    <xf numFmtId="14" fontId="22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4" fillId="0" borderId="93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14" fontId="0" fillId="0" borderId="93" xfId="0" applyNumberFormat="1" applyBorder="1" applyAlignment="1">
      <alignment horizontal="center" vertical="center"/>
    </xf>
    <xf numFmtId="0" fontId="24" fillId="0" borderId="93" xfId="0" applyFont="1" applyBorder="1" applyAlignment="1">
      <alignment horizontal="center" vertical="center"/>
    </xf>
    <xf numFmtId="0" fontId="0" fillId="0" borderId="71" xfId="0" applyBorder="1"/>
    <xf numFmtId="0" fontId="22" fillId="0" borderId="128" xfId="0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4" fontId="38" fillId="0" borderId="2" xfId="0" applyNumberFormat="1" applyFont="1" applyBorder="1" applyAlignment="1">
      <alignment horizontal="center" vertical="center"/>
    </xf>
    <xf numFmtId="14" fontId="24" fillId="16" borderId="125" xfId="0" applyNumberFormat="1" applyFont="1" applyFill="1" applyBorder="1" applyAlignment="1">
      <alignment horizontal="center" vertical="center" wrapText="1"/>
    </xf>
    <xf numFmtId="0" fontId="28" fillId="0" borderId="58" xfId="0" applyFont="1" applyBorder="1" applyAlignment="1">
      <alignment horizontal="center" wrapText="1"/>
    </xf>
    <xf numFmtId="0" fontId="24" fillId="0" borderId="128" xfId="0" applyFont="1" applyBorder="1" applyAlignment="1">
      <alignment horizontal="center" vertical="center" wrapText="1"/>
    </xf>
    <xf numFmtId="0" fontId="24" fillId="0" borderId="127" xfId="0" applyFont="1" applyBorder="1" applyAlignment="1">
      <alignment horizontal="center" vertical="center" wrapText="1"/>
    </xf>
    <xf numFmtId="0" fontId="18" fillId="12" borderId="0" xfId="0" applyFont="1" applyFill="1" applyAlignment="1">
      <alignment horizontal="center" vertical="center"/>
    </xf>
    <xf numFmtId="0" fontId="18" fillId="12" borderId="130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131" xfId="0" applyFont="1" applyFill="1" applyBorder="1" applyAlignment="1">
      <alignment horizontal="center" vertical="center"/>
    </xf>
    <xf numFmtId="0" fontId="18" fillId="12" borderId="52" xfId="0" applyFont="1" applyFill="1" applyBorder="1" applyAlignment="1">
      <alignment horizontal="center" vertical="center"/>
    </xf>
    <xf numFmtId="0" fontId="18" fillId="12" borderId="53" xfId="0" applyFont="1" applyFill="1" applyBorder="1" applyAlignment="1">
      <alignment horizontal="center" vertical="center"/>
    </xf>
    <xf numFmtId="0" fontId="18" fillId="12" borderId="5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12" borderId="52" xfId="0" applyFont="1" applyFill="1" applyBorder="1" applyAlignment="1">
      <alignment horizontal="center" vertical="center"/>
    </xf>
    <xf numFmtId="0" fontId="27" fillId="12" borderId="53" xfId="0" applyFont="1" applyFill="1" applyBorder="1" applyAlignment="1">
      <alignment horizontal="center" vertical="center"/>
    </xf>
    <xf numFmtId="0" fontId="27" fillId="12" borderId="54" xfId="0" applyFont="1" applyFill="1" applyBorder="1" applyAlignment="1">
      <alignment horizontal="center" vertical="center"/>
    </xf>
    <xf numFmtId="0" fontId="18" fillId="12" borderId="112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 wrapText="1"/>
    </xf>
    <xf numFmtId="0" fontId="11" fillId="8" borderId="21" xfId="0" applyFont="1" applyFill="1" applyBorder="1" applyAlignment="1">
      <alignment horizontal="center" vertical="center"/>
    </xf>
    <xf numFmtId="0" fontId="11" fillId="8" borderId="22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12" xfId="1" applyBorder="1" applyAlignment="1">
      <alignment horizontal="center" vertical="center" wrapText="1"/>
    </xf>
    <xf numFmtId="0" fontId="10" fillId="0" borderId="2" xfId="1" applyBorder="1" applyAlignment="1">
      <alignment horizontal="center" vertical="center" wrapText="1"/>
    </xf>
    <xf numFmtId="0" fontId="10" fillId="0" borderId="3" xfId="1" applyBorder="1" applyAlignment="1">
      <alignment horizontal="center" vertical="center" wrapText="1"/>
    </xf>
    <xf numFmtId="0" fontId="11" fillId="8" borderId="43" xfId="0" applyFont="1" applyFill="1" applyBorder="1" applyAlignment="1">
      <alignment horizontal="center" vertical="center" wrapText="1"/>
    </xf>
    <xf numFmtId="0" fontId="11" fillId="8" borderId="50" xfId="0" applyFont="1" applyFill="1" applyBorder="1" applyAlignment="1">
      <alignment horizontal="center" vertical="center"/>
    </xf>
    <xf numFmtId="0" fontId="11" fillId="8" borderId="51" xfId="0" applyFont="1" applyFill="1" applyBorder="1" applyAlignment="1">
      <alignment horizontal="center" vertical="center"/>
    </xf>
    <xf numFmtId="0" fontId="8" fillId="9" borderId="43" xfId="0" applyFont="1" applyFill="1" applyBorder="1" applyAlignment="1">
      <alignment horizontal="center" vertical="center"/>
    </xf>
    <xf numFmtId="0" fontId="8" fillId="9" borderId="50" xfId="0" applyFont="1" applyFill="1" applyBorder="1" applyAlignment="1">
      <alignment horizontal="center" vertical="center"/>
    </xf>
    <xf numFmtId="0" fontId="8" fillId="9" borderId="51" xfId="0" applyFont="1" applyFill="1" applyBorder="1" applyAlignment="1">
      <alignment horizontal="center" vertical="center"/>
    </xf>
    <xf numFmtId="0" fontId="11" fillId="9" borderId="43" xfId="0" applyFont="1" applyFill="1" applyBorder="1" applyAlignment="1">
      <alignment horizontal="center" vertical="center"/>
    </xf>
    <xf numFmtId="0" fontId="11" fillId="9" borderId="50" xfId="0" applyFont="1" applyFill="1" applyBorder="1" applyAlignment="1">
      <alignment horizontal="center" vertical="center"/>
    </xf>
    <xf numFmtId="0" fontId="11" fillId="9" borderId="51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8" borderId="50" xfId="0" applyFont="1" applyFill="1" applyBorder="1" applyAlignment="1">
      <alignment horizontal="center" vertical="center" wrapText="1"/>
    </xf>
    <xf numFmtId="0" fontId="11" fillId="10" borderId="43" xfId="0" applyFont="1" applyFill="1" applyBorder="1" applyAlignment="1">
      <alignment horizontal="center" vertical="center"/>
    </xf>
    <xf numFmtId="0" fontId="11" fillId="10" borderId="50" xfId="0" applyFont="1" applyFill="1" applyBorder="1" applyAlignment="1">
      <alignment horizontal="center" vertical="center"/>
    </xf>
    <xf numFmtId="0" fontId="11" fillId="8" borderId="51" xfId="0" applyFont="1" applyFill="1" applyBorder="1" applyAlignment="1">
      <alignment horizontal="center" vertical="center" wrapText="1"/>
    </xf>
    <xf numFmtId="0" fontId="11" fillId="10" borderId="43" xfId="0" applyFont="1" applyFill="1" applyBorder="1" applyAlignment="1">
      <alignment horizontal="center" vertical="center" wrapText="1"/>
    </xf>
    <xf numFmtId="0" fontId="11" fillId="10" borderId="51" xfId="0" applyFont="1" applyFill="1" applyBorder="1" applyAlignment="1">
      <alignment horizontal="center" vertical="center"/>
    </xf>
    <xf numFmtId="0" fontId="11" fillId="9" borderId="43" xfId="0" applyFont="1" applyFill="1" applyBorder="1" applyAlignment="1">
      <alignment horizontal="center" vertical="center" wrapText="1"/>
    </xf>
    <xf numFmtId="0" fontId="11" fillId="9" borderId="50" xfId="0" applyFont="1" applyFill="1" applyBorder="1" applyAlignment="1">
      <alignment horizontal="center" vertical="center" wrapText="1"/>
    </xf>
    <xf numFmtId="0" fontId="11" fillId="9" borderId="51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11" xfId="1" applyBorder="1" applyAlignment="1">
      <alignment horizontal="center" vertical="center" wrapText="1"/>
    </xf>
    <xf numFmtId="0" fontId="10" fillId="0" borderId="7" xfId="1" applyBorder="1" applyAlignment="1">
      <alignment horizontal="center" vertical="center" wrapText="1"/>
    </xf>
    <xf numFmtId="0" fontId="10" fillId="0" borderId="8" xfId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10" fillId="0" borderId="17" xfId="1" applyBorder="1" applyAlignment="1">
      <alignment horizontal="center" vertical="center" wrapText="1"/>
    </xf>
    <xf numFmtId="0" fontId="10" fillId="0" borderId="14" xfId="1" applyBorder="1" applyAlignment="1">
      <alignment horizontal="center" vertical="center" wrapText="1"/>
    </xf>
    <xf numFmtId="0" fontId="10" fillId="0" borderId="15" xfId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14" fillId="3" borderId="52" xfId="0" applyFont="1" applyFill="1" applyBorder="1" applyAlignment="1">
      <alignment horizontal="center" vertical="center" wrapText="1"/>
    </xf>
    <xf numFmtId="0" fontId="14" fillId="3" borderId="53" xfId="0" applyFont="1" applyFill="1" applyBorder="1" applyAlignment="1">
      <alignment horizontal="center" vertical="center" wrapText="1"/>
    </xf>
    <xf numFmtId="0" fontId="14" fillId="3" borderId="54" xfId="0" applyFont="1" applyFill="1" applyBorder="1" applyAlignment="1">
      <alignment horizontal="center" vertical="center" wrapText="1"/>
    </xf>
    <xf numFmtId="0" fontId="11" fillId="9" borderId="68" xfId="0" applyFont="1" applyFill="1" applyBorder="1" applyAlignment="1">
      <alignment horizontal="center" vertical="center"/>
    </xf>
    <xf numFmtId="0" fontId="2" fillId="0" borderId="108" xfId="0" applyFont="1" applyBorder="1" applyAlignment="1">
      <alignment horizontal="center" vertical="center" wrapText="1"/>
    </xf>
    <xf numFmtId="0" fontId="2" fillId="0" borderId="109" xfId="0" applyFont="1" applyBorder="1" applyAlignment="1">
      <alignment horizontal="center" vertical="center" wrapText="1"/>
    </xf>
    <xf numFmtId="0" fontId="2" fillId="0" borderId="110" xfId="0" applyFont="1" applyBorder="1" applyAlignment="1">
      <alignment horizontal="center" vertical="center" wrapText="1"/>
    </xf>
    <xf numFmtId="0" fontId="31" fillId="0" borderId="105" xfId="0" applyFont="1" applyBorder="1" applyAlignment="1">
      <alignment horizontal="center" vertical="center" wrapText="1"/>
    </xf>
    <xf numFmtId="0" fontId="31" fillId="0" borderId="106" xfId="0" applyFont="1" applyBorder="1" applyAlignment="1">
      <alignment horizontal="center" vertical="center" wrapText="1"/>
    </xf>
    <xf numFmtId="0" fontId="31" fillId="0" borderId="107" xfId="0" applyFont="1" applyBorder="1" applyAlignment="1">
      <alignment horizontal="center" vertical="center" wrapText="1"/>
    </xf>
    <xf numFmtId="0" fontId="10" fillId="0" borderId="77" xfId="1" applyBorder="1" applyAlignment="1">
      <alignment horizontal="center" vertical="center" wrapText="1"/>
    </xf>
    <xf numFmtId="0" fontId="10" fillId="0" borderId="71" xfId="1" applyBorder="1" applyAlignment="1">
      <alignment horizontal="center" vertical="center" wrapText="1"/>
    </xf>
    <xf numFmtId="0" fontId="10" fillId="0" borderId="73" xfId="1" applyBorder="1" applyAlignment="1">
      <alignment horizontal="center" vertical="center" wrapText="1"/>
    </xf>
    <xf numFmtId="0" fontId="11" fillId="9" borderId="84" xfId="0" applyFont="1" applyFill="1" applyBorder="1" applyAlignment="1">
      <alignment horizontal="center" vertical="center"/>
    </xf>
    <xf numFmtId="0" fontId="11" fillId="9" borderId="85" xfId="0" applyFont="1" applyFill="1" applyBorder="1" applyAlignment="1">
      <alignment horizontal="center" vertical="center"/>
    </xf>
    <xf numFmtId="0" fontId="11" fillId="9" borderId="87" xfId="0" applyFont="1" applyFill="1" applyBorder="1" applyAlignment="1">
      <alignment horizontal="center" vertical="center"/>
    </xf>
    <xf numFmtId="0" fontId="2" fillId="0" borderId="88" xfId="0" applyFont="1" applyBorder="1" applyAlignment="1">
      <alignment horizontal="center" vertical="center" wrapText="1"/>
    </xf>
    <xf numFmtId="0" fontId="2" fillId="0" borderId="89" xfId="0" applyFont="1" applyBorder="1" applyAlignment="1">
      <alignment horizontal="center" vertical="center" wrapText="1"/>
    </xf>
    <xf numFmtId="0" fontId="2" fillId="0" borderId="90" xfId="0" applyFont="1" applyBorder="1" applyAlignment="1">
      <alignment horizontal="center" vertical="center" wrapText="1"/>
    </xf>
    <xf numFmtId="0" fontId="31" fillId="0" borderId="80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0" borderId="91" xfId="0" applyFont="1" applyBorder="1" applyAlignment="1">
      <alignment horizontal="center" vertical="center" wrapText="1"/>
    </xf>
    <xf numFmtId="0" fontId="2" fillId="0" borderId="92" xfId="0" applyFont="1" applyBorder="1" applyAlignment="1">
      <alignment horizontal="center" vertical="center" wrapText="1"/>
    </xf>
    <xf numFmtId="0" fontId="2" fillId="0" borderId="94" xfId="0" applyFont="1" applyBorder="1" applyAlignment="1">
      <alignment horizontal="center" vertical="center" wrapText="1"/>
    </xf>
    <xf numFmtId="0" fontId="10" fillId="0" borderId="93" xfId="1" applyBorder="1" applyAlignment="1">
      <alignment horizontal="center" vertical="center" wrapText="1"/>
    </xf>
    <xf numFmtId="0" fontId="10" fillId="0" borderId="95" xfId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10" fillId="0" borderId="6" xfId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11" fillId="14" borderId="43" xfId="0" applyFont="1" applyFill="1" applyBorder="1" applyAlignment="1">
      <alignment horizontal="center" vertical="center"/>
    </xf>
    <xf numFmtId="0" fontId="11" fillId="14" borderId="50" xfId="0" applyFont="1" applyFill="1" applyBorder="1" applyAlignment="1">
      <alignment horizontal="center" vertical="center"/>
    </xf>
    <xf numFmtId="0" fontId="11" fillId="14" borderId="51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0" fillId="0" borderId="89" xfId="0" applyBorder="1" applyAlignment="1">
      <alignment horizontal="center" vertical="center" wrapText="1"/>
    </xf>
    <xf numFmtId="0" fontId="0" fillId="0" borderId="90" xfId="0" applyBorder="1" applyAlignment="1">
      <alignment horizontal="center" vertical="center" wrapText="1"/>
    </xf>
    <xf numFmtId="0" fontId="0" fillId="0" borderId="92" xfId="0" applyBorder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0" fillId="0" borderId="108" xfId="0" applyBorder="1" applyAlignment="1">
      <alignment horizontal="center" vertical="center" wrapText="1"/>
    </xf>
    <xf numFmtId="0" fontId="0" fillId="0" borderId="109" xfId="0" applyBorder="1" applyAlignment="1">
      <alignment horizontal="center" vertical="center" wrapText="1"/>
    </xf>
    <xf numFmtId="0" fontId="0" fillId="0" borderId="110" xfId="0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63" xfId="0" applyFont="1" applyFill="1" applyBorder="1" applyAlignment="1">
      <alignment horizontal="center" vertical="center" wrapText="1"/>
    </xf>
    <xf numFmtId="0" fontId="6" fillId="11" borderId="64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0" fillId="0" borderId="12" xfId="2" applyBorder="1" applyAlignment="1">
      <alignment horizontal="center" vertical="center" wrapText="1"/>
    </xf>
    <xf numFmtId="0" fontId="10" fillId="0" borderId="2" xfId="2" applyBorder="1" applyAlignment="1">
      <alignment horizontal="center" vertical="center" wrapText="1"/>
    </xf>
    <xf numFmtId="0" fontId="10" fillId="0" borderId="3" xfId="2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56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0" fillId="0" borderId="8" xfId="1" applyBorder="1" applyAlignment="1">
      <alignment horizontal="center" vertical="center"/>
    </xf>
    <xf numFmtId="0" fontId="10" fillId="0" borderId="7" xfId="2" applyBorder="1" applyAlignment="1">
      <alignment horizontal="center" vertical="center" wrapText="1"/>
    </xf>
    <xf numFmtId="0" fontId="10" fillId="0" borderId="8" xfId="2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 wrapText="1"/>
    </xf>
    <xf numFmtId="0" fontId="6" fillId="11" borderId="22" xfId="0" applyFont="1" applyFill="1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10" fillId="0" borderId="4" xfId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6" fillId="11" borderId="25" xfId="0" applyFont="1" applyFill="1" applyBorder="1" applyAlignment="1">
      <alignment horizontal="center" vertical="center" wrapText="1"/>
    </xf>
    <xf numFmtId="0" fontId="6" fillId="11" borderId="65" xfId="0" applyFont="1" applyFill="1" applyBorder="1" applyAlignment="1">
      <alignment horizontal="center" vertical="center" wrapText="1"/>
    </xf>
    <xf numFmtId="0" fontId="0" fillId="0" borderId="71" xfId="0" applyBorder="1" applyAlignment="1">
      <alignment horizontal="center" vertical="center"/>
    </xf>
    <xf numFmtId="0" fontId="0" fillId="0" borderId="71" xfId="0" applyBorder="1" applyAlignment="1">
      <alignment horizontal="center" vertical="center" wrapText="1"/>
    </xf>
    <xf numFmtId="0" fontId="6" fillId="11" borderId="71" xfId="0" applyFont="1" applyFill="1" applyBorder="1" applyAlignment="1">
      <alignment horizontal="center" vertical="center" wrapText="1"/>
    </xf>
    <xf numFmtId="0" fontId="0" fillId="0" borderId="95" xfId="0" applyBorder="1" applyAlignment="1">
      <alignment horizontal="center" vertical="center"/>
    </xf>
    <xf numFmtId="0" fontId="0" fillId="0" borderId="95" xfId="0" applyBorder="1" applyAlignment="1">
      <alignment horizontal="center" vertical="center" wrapText="1"/>
    </xf>
    <xf numFmtId="0" fontId="6" fillId="11" borderId="95" xfId="0" applyFont="1" applyFill="1" applyBorder="1" applyAlignment="1">
      <alignment horizontal="center" vertical="center" wrapText="1"/>
    </xf>
    <xf numFmtId="0" fontId="6" fillId="0" borderId="101" xfId="0" applyFont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6" fillId="0" borderId="101" xfId="0" applyFont="1" applyBorder="1" applyAlignment="1">
      <alignment horizontal="center" vertical="center" wrapText="1"/>
    </xf>
    <xf numFmtId="0" fontId="6" fillId="0" borderId="99" xfId="0" applyFont="1" applyBorder="1" applyAlignment="1">
      <alignment horizontal="center" vertical="center" wrapText="1"/>
    </xf>
    <xf numFmtId="0" fontId="6" fillId="0" borderId="104" xfId="0" applyFont="1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26" fillId="3" borderId="56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26" fillId="3" borderId="24" xfId="0" applyFont="1" applyFill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1" borderId="75" xfId="0" applyFont="1" applyFill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6" fillId="0" borderId="93" xfId="0" applyFont="1" applyBorder="1" applyAlignment="1">
      <alignment horizontal="center" vertical="center" wrapText="1"/>
    </xf>
    <xf numFmtId="0" fontId="0" fillId="11" borderId="101" xfId="0" applyFill="1" applyBorder="1" applyAlignment="1">
      <alignment horizontal="center" vertical="center" wrapText="1"/>
    </xf>
    <xf numFmtId="0" fontId="0" fillId="11" borderId="99" xfId="0" applyFill="1" applyBorder="1" applyAlignment="1">
      <alignment horizontal="center" vertical="center" wrapText="1"/>
    </xf>
    <xf numFmtId="0" fontId="0" fillId="11" borderId="93" xfId="0" applyFill="1" applyBorder="1" applyAlignment="1">
      <alignment horizontal="center" vertical="center" wrapText="1"/>
    </xf>
    <xf numFmtId="0" fontId="6" fillId="11" borderId="111" xfId="0" applyFont="1" applyFill="1" applyBorder="1" applyAlignment="1">
      <alignment horizontal="center" vertical="center" wrapText="1"/>
    </xf>
    <xf numFmtId="0" fontId="6" fillId="11" borderId="112" xfId="0" applyFont="1" applyFill="1" applyBorder="1" applyAlignment="1">
      <alignment horizontal="center" vertical="center" wrapText="1"/>
    </xf>
    <xf numFmtId="0" fontId="6" fillId="11" borderId="113" xfId="0" applyFont="1" applyFill="1" applyBorder="1" applyAlignment="1">
      <alignment horizontal="center" vertical="center" wrapText="1"/>
    </xf>
    <xf numFmtId="0" fontId="6" fillId="11" borderId="114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1" borderId="115" xfId="0" applyFont="1" applyFill="1" applyBorder="1" applyAlignment="1">
      <alignment horizontal="center" vertical="center" wrapText="1"/>
    </xf>
    <xf numFmtId="0" fontId="6" fillId="11" borderId="116" xfId="0" applyFont="1" applyFill="1" applyBorder="1" applyAlignment="1">
      <alignment horizontal="center" vertical="center" wrapText="1"/>
    </xf>
    <xf numFmtId="0" fontId="6" fillId="11" borderId="49" xfId="0" applyFont="1" applyFill="1" applyBorder="1" applyAlignment="1">
      <alignment horizontal="center" vertical="center" wrapText="1"/>
    </xf>
    <xf numFmtId="0" fontId="6" fillId="11" borderId="117" xfId="0" applyFont="1" applyFill="1" applyBorder="1" applyAlignment="1">
      <alignment horizontal="center" vertical="center" wrapText="1"/>
    </xf>
    <xf numFmtId="0" fontId="6" fillId="0" borderId="121" xfId="0" applyFont="1" applyBorder="1" applyAlignment="1">
      <alignment horizontal="center" vertical="center" wrapText="1"/>
    </xf>
    <xf numFmtId="0" fontId="6" fillId="0" borderId="122" xfId="0" applyFont="1" applyBorder="1" applyAlignment="1">
      <alignment horizontal="center" vertical="center" wrapText="1"/>
    </xf>
    <xf numFmtId="0" fontId="6" fillId="0" borderId="123" xfId="0" applyFont="1" applyBorder="1" applyAlignment="1">
      <alignment horizontal="center" vertical="center" wrapText="1"/>
    </xf>
    <xf numFmtId="0" fontId="0" fillId="0" borderId="6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6" fillId="11" borderId="73" xfId="0" applyFont="1" applyFill="1" applyBorder="1" applyAlignment="1">
      <alignment horizontal="center" vertical="center" wrapText="1"/>
    </xf>
    <xf numFmtId="0" fontId="6" fillId="11" borderId="69" xfId="0" applyFont="1" applyFill="1" applyBorder="1" applyAlignment="1">
      <alignment horizontal="center" vertical="center" wrapText="1"/>
    </xf>
    <xf numFmtId="0" fontId="6" fillId="0" borderId="77" xfId="0" applyFont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0" fontId="10" fillId="0" borderId="100" xfId="1" applyBorder="1" applyAlignment="1">
      <alignment horizontal="center" vertical="center"/>
    </xf>
    <xf numFmtId="0" fontId="10" fillId="0" borderId="102" xfId="1" applyBorder="1" applyAlignment="1">
      <alignment horizontal="center" vertical="center"/>
    </xf>
    <xf numFmtId="0" fontId="10" fillId="0" borderId="103" xfId="1" applyBorder="1" applyAlignment="1">
      <alignment horizontal="center" vertical="center"/>
    </xf>
    <xf numFmtId="0" fontId="6" fillId="11" borderId="118" xfId="0" applyFont="1" applyFill="1" applyBorder="1" applyAlignment="1">
      <alignment horizontal="center" vertical="center" wrapText="1"/>
    </xf>
    <xf numFmtId="0" fontId="6" fillId="11" borderId="119" xfId="0" applyFont="1" applyFill="1" applyBorder="1" applyAlignment="1">
      <alignment horizontal="center" vertical="center" wrapText="1"/>
    </xf>
    <xf numFmtId="0" fontId="6" fillId="11" borderId="120" xfId="0" applyFont="1" applyFill="1" applyBorder="1" applyAlignment="1">
      <alignment horizontal="center" vertical="center" wrapText="1"/>
    </xf>
    <xf numFmtId="0" fontId="10" fillId="0" borderId="98" xfId="1" applyBorder="1" applyAlignment="1">
      <alignment horizontal="center" vertical="center"/>
    </xf>
    <xf numFmtId="0" fontId="10" fillId="0" borderId="124" xfId="1" applyBorder="1" applyAlignment="1">
      <alignment horizontal="center" vertical="center"/>
    </xf>
    <xf numFmtId="0" fontId="6" fillId="0" borderId="95" xfId="0" applyFont="1" applyBorder="1" applyAlignment="1">
      <alignment horizontal="center" vertical="center"/>
    </xf>
    <xf numFmtId="0" fontId="6" fillId="0" borderId="93" xfId="0" applyFont="1" applyBorder="1" applyAlignment="1">
      <alignment horizontal="center" vertical="center"/>
    </xf>
    <xf numFmtId="0" fontId="6" fillId="0" borderId="95" xfId="0" applyFont="1" applyBorder="1" applyAlignment="1">
      <alignment horizontal="center" vertical="center" wrapText="1"/>
    </xf>
    <xf numFmtId="0" fontId="10" fillId="0" borderId="71" xfId="1" applyBorder="1" applyAlignment="1">
      <alignment horizontal="center" vertical="center"/>
    </xf>
    <xf numFmtId="0" fontId="10" fillId="0" borderId="71" xfId="2" applyBorder="1" applyAlignment="1">
      <alignment horizontal="center" vertical="center"/>
    </xf>
    <xf numFmtId="0" fontId="32" fillId="3" borderId="23" xfId="0" applyFont="1" applyFill="1" applyBorder="1" applyAlignment="1">
      <alignment horizontal="center" vertical="center" wrapText="1"/>
    </xf>
    <xf numFmtId="0" fontId="10" fillId="0" borderId="71" xfId="2" applyBorder="1" applyAlignment="1">
      <alignment horizontal="center" vertical="center" wrapText="1"/>
    </xf>
    <xf numFmtId="0" fontId="10" fillId="0" borderId="79" xfId="2" applyBorder="1" applyAlignment="1">
      <alignment horizontal="center" vertical="center"/>
    </xf>
    <xf numFmtId="0" fontId="10" fillId="0" borderId="36" xfId="2" applyBorder="1" applyAlignment="1">
      <alignment horizontal="center" vertical="center"/>
    </xf>
    <xf numFmtId="0" fontId="10" fillId="0" borderId="74" xfId="2" applyBorder="1" applyAlignment="1">
      <alignment horizontal="center" vertical="center"/>
    </xf>
    <xf numFmtId="0" fontId="0" fillId="0" borderId="125" xfId="0" applyBorder="1" applyAlignment="1">
      <alignment horizontal="center" vertical="center" wrapText="1"/>
    </xf>
    <xf numFmtId="0" fontId="0" fillId="0" borderId="126" xfId="0" applyBorder="1" applyAlignment="1">
      <alignment horizontal="center" vertical="center" wrapText="1"/>
    </xf>
  </cellXfs>
  <cellStyles count="3">
    <cellStyle name="Hiperlink" xfId="1" builtinId="8"/>
    <cellStyle name="Hyperlink" xfId="2" xr:uid="{00000000-000B-0000-0000-000008000000}"/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elso Gustavo Cavalcante Ribeiro" id="{D9926456-A826-493C-9F48-7130B0991A86}" userId="S::celso.ribeiro@cjf.jus.br::07cbed89-55fa-466c-a032-c20a55190a6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3" dT="2026-02-04T20:27:12.02" personId="{D9926456-A826-493C-9F48-7130B0991A86}" id="{D17B3BE0-06AE-42C2-BF3A-684CD4B16157}">
    <text>Perda de prazo da renovação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cjf.jus.br/sei/controlador.php?acao=procedimento_trabalhar&amp;id_procedimento=473010&amp;id_documento=475959" TargetMode="External"/><Relationship Id="rId13" Type="http://schemas.openxmlformats.org/officeDocument/2006/relationships/hyperlink" Target="https://sei.cjf.jus.br/sei/controlador.php?acao=procedimento_trabalhar&amp;id_procedimento=471564&amp;id_documento=472363" TargetMode="External"/><Relationship Id="rId18" Type="http://schemas.openxmlformats.org/officeDocument/2006/relationships/hyperlink" Target="https://sei.cjf.jus.br/sei/controlador.php?acao=procedimento_trabalhar&amp;id_procedimento=395995&amp;id_documento=552395" TargetMode="External"/><Relationship Id="rId3" Type="http://schemas.openxmlformats.org/officeDocument/2006/relationships/hyperlink" Target="https://sei.cjf.jus.br/sei/controlador.php?acao=procedimento_trabalhar&amp;id_procedimento=473548&amp;id_documento=475099" TargetMode="External"/><Relationship Id="rId7" Type="http://schemas.openxmlformats.org/officeDocument/2006/relationships/hyperlink" Target="https://sei.cjf.jus.br/sei/controlador.php?acao=procedimento_trabalhar&amp;id_procedimento=442372&amp;id_documento=449302" TargetMode="External"/><Relationship Id="rId12" Type="http://schemas.openxmlformats.org/officeDocument/2006/relationships/hyperlink" Target="https://sei.cjf.jus.br/sei/controlador.php?acao=procedimento_trabalhar&amp;id_procedimento=458872&amp;id_documento=465338" TargetMode="External"/><Relationship Id="rId17" Type="http://schemas.openxmlformats.org/officeDocument/2006/relationships/hyperlink" Target="https://sei.cjf.jus.br/sei/controlador.php?acao=procedimento_trabalhar&amp;id_procedimento=492353&amp;id_documento=570937" TargetMode="External"/><Relationship Id="rId2" Type="http://schemas.openxmlformats.org/officeDocument/2006/relationships/hyperlink" Target="https://sei.cjf.jus.br/sei/controlador.php?acao=procedimento_trabalhar&amp;id_procedimento=436732&amp;id_documento=517720" TargetMode="External"/><Relationship Id="rId16" Type="http://schemas.openxmlformats.org/officeDocument/2006/relationships/hyperlink" Target="https://sei.cjf.jus.br/sei/controlador.php?acao=procedimento_trabalhar&amp;id_procedimento=496255&amp;id_documento=507812" TargetMode="External"/><Relationship Id="rId20" Type="http://schemas.openxmlformats.org/officeDocument/2006/relationships/printerSettings" Target="../printerSettings/printerSettings9.bin"/><Relationship Id="rId1" Type="http://schemas.openxmlformats.org/officeDocument/2006/relationships/hyperlink" Target="https://sei.cjf.jus.br/sei/controlador.php?acao=procedimento_trabalhar&amp;id_procedimento=440599&amp;id_documento=443744" TargetMode="External"/><Relationship Id="rId6" Type="http://schemas.openxmlformats.org/officeDocument/2006/relationships/hyperlink" Target="https://sei.cjf.jus.br/sei/controlador.php?acao=procedimento_trabalhar&amp;id_procedimento=440599&amp;id_documento=443744" TargetMode="External"/><Relationship Id="rId11" Type="http://schemas.openxmlformats.org/officeDocument/2006/relationships/hyperlink" Target="https://sei.cjf.jus.br/sei/controlador.php?acao=procedimento_trabalhar&amp;id_procedimento=464461&amp;id_documento=517205" TargetMode="External"/><Relationship Id="rId5" Type="http://schemas.openxmlformats.org/officeDocument/2006/relationships/hyperlink" Target="https://sei.cjf.jus.br/sei/controlador.php?acao=procedimento_trabalhar&amp;id_procedimento=438640&amp;id_documento=510105" TargetMode="External"/><Relationship Id="rId15" Type="http://schemas.openxmlformats.org/officeDocument/2006/relationships/hyperlink" Target="https://sei.cjf.jus.br/sei/controlador.php?acao=procedimento_trabalhar&amp;id_procedimento=476561&amp;id_documento=493455" TargetMode="External"/><Relationship Id="rId10" Type="http://schemas.openxmlformats.org/officeDocument/2006/relationships/hyperlink" Target="https://sei.cjf.jus.br/sei/controlador.php?acao=procedimento_trabalhar&amp;id_procedimento=464462&amp;id_documento=517181" TargetMode="External"/><Relationship Id="rId19" Type="http://schemas.openxmlformats.org/officeDocument/2006/relationships/hyperlink" Target="https://sei.cjf.jus.br/sei/controlador.php?acao=procedimento_trabalhar&amp;id_procedimento=415132&amp;id_documento=422622" TargetMode="External"/><Relationship Id="rId4" Type="http://schemas.openxmlformats.org/officeDocument/2006/relationships/hyperlink" Target="https://sei.cjf.jus.br/sei/controlador.php?acao=procedimento_trabalhar&amp;id_procedimento=464459&amp;id_documento=469136" TargetMode="External"/><Relationship Id="rId9" Type="http://schemas.openxmlformats.org/officeDocument/2006/relationships/hyperlink" Target="https://sei.cjf.jus.br/sei/controlador.php?acao=procedimento_trabalhar&amp;id_procedimento=430816&amp;id_documento=434604" TargetMode="External"/><Relationship Id="rId14" Type="http://schemas.openxmlformats.org/officeDocument/2006/relationships/hyperlink" Target="https://sei.cjf.jus.br/sei/controlador.php?acao=procedimento_trabalhar&amp;id_procedimento=486496&amp;id_documento=56296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cjf.jus.br/sei/controlador.php?acao=procedimento_trabalhar&amp;id_procedimento=348544&amp;id_documento=427565" TargetMode="External"/><Relationship Id="rId3" Type="http://schemas.openxmlformats.org/officeDocument/2006/relationships/hyperlink" Target="https://sei.cjf.jus.br/sei/controlador.php?acao=procedimento_trabalhar&amp;id_procedimento=226414&amp;id_documento=500714" TargetMode="External"/><Relationship Id="rId7" Type="http://schemas.openxmlformats.org/officeDocument/2006/relationships/hyperlink" Target="https://sei.cjf.jus.br/sei/controlador.php?acao=procedimento_trabalhar&amp;id_procedimento=348544&amp;id_documento=424450" TargetMode="External"/><Relationship Id="rId2" Type="http://schemas.openxmlformats.org/officeDocument/2006/relationships/hyperlink" Target="https://sei.cjf.jus.br/sei/controlador.php?acao=procedimento_trabalhar&amp;id_procedimento=171800&amp;id_documento=362822" TargetMode="External"/><Relationship Id="rId1" Type="http://schemas.openxmlformats.org/officeDocument/2006/relationships/hyperlink" Target="https://sei.cjf.jus.br/sei/controlador.php?acao=procedimento_trabalhar&amp;id_procedimento=171800&amp;id_documento=357696" TargetMode="External"/><Relationship Id="rId6" Type="http://schemas.openxmlformats.org/officeDocument/2006/relationships/hyperlink" Target="https://sei.cjf.jus.br/sei/controlador.php?acao=procedimento_trabalhar&amp;id_procedimento=264260&amp;id_documento=389310" TargetMode="External"/><Relationship Id="rId11" Type="http://schemas.openxmlformats.org/officeDocument/2006/relationships/printerSettings" Target="../printerSettings/printerSettings12.bin"/><Relationship Id="rId5" Type="http://schemas.openxmlformats.org/officeDocument/2006/relationships/hyperlink" Target="https://sei.cjf.jus.br/sei/controlador.php?acao=procedimento_trabalhar&amp;id_procedimento=264260&amp;id_documento=793366" TargetMode="External"/><Relationship Id="rId10" Type="http://schemas.openxmlformats.org/officeDocument/2006/relationships/hyperlink" Target="https://sei.cjf.jus.br/sei/controlador.php?acao=procedimento_trabalhar&amp;id_procedimento=308428&amp;id_documento=539267" TargetMode="External"/><Relationship Id="rId4" Type="http://schemas.openxmlformats.org/officeDocument/2006/relationships/hyperlink" Target="https://sei.cjf.jus.br/sei/controlador.php?acao=procedimento_trabalhar&amp;id_procedimento=226414&amp;id_documento=405669" TargetMode="External"/><Relationship Id="rId9" Type="http://schemas.openxmlformats.org/officeDocument/2006/relationships/hyperlink" Target="https://sei.cjf.jus.br/sei/controlador.php?acao=procedimento_trabalhar&amp;id_procedimento=308428&amp;id_documento=424809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cjf.jus.br/sei/controlador.php?acao=procedimento_trabalhar&amp;id_procedimento=497867&amp;id_documento=512331" TargetMode="External"/><Relationship Id="rId3" Type="http://schemas.openxmlformats.org/officeDocument/2006/relationships/hyperlink" Target="https://sei.cjf.jus.br/sei/controlador.php?acao=procedimento_trabalhar&amp;id_procedimento=473010&amp;id_documento=533753" TargetMode="External"/><Relationship Id="rId7" Type="http://schemas.openxmlformats.org/officeDocument/2006/relationships/hyperlink" Target="https://sei.cjf.jus.br/sei/controlador.php?acao=procedimento_trabalhar&amp;id_procedimento=415132&amp;id_documento=486989" TargetMode="External"/><Relationship Id="rId12" Type="http://schemas.openxmlformats.org/officeDocument/2006/relationships/printerSettings" Target="../printerSettings/printerSettings13.bin"/><Relationship Id="rId2" Type="http://schemas.openxmlformats.org/officeDocument/2006/relationships/hyperlink" Target="https://sei.cjf.jus.br/sei/controlador.php?acao=procedimento_trabalhar&amp;id_procedimento=476561&amp;id_documento=793005" TargetMode="External"/><Relationship Id="rId1" Type="http://schemas.openxmlformats.org/officeDocument/2006/relationships/hyperlink" Target="https://sei.cjf.jus.br/sei/controlador.php?acao=procedimento_trabalhar&amp;id_procedimento=508815&amp;id_documento=552091" TargetMode="External"/><Relationship Id="rId6" Type="http://schemas.openxmlformats.org/officeDocument/2006/relationships/hyperlink" Target="https://sei.cjf.jus.br/sei/controlador.php?acao=procedimento_trabalhar&amp;id_procedimento=476561&amp;id_documento=521004" TargetMode="External"/><Relationship Id="rId11" Type="http://schemas.openxmlformats.org/officeDocument/2006/relationships/hyperlink" Target="https://sei.cjf.jus.br/sei/controlador.php?acao=procedimento_trabalhar&amp;id_procedimento=497867&amp;id_documento=563208" TargetMode="External"/><Relationship Id="rId5" Type="http://schemas.openxmlformats.org/officeDocument/2006/relationships/hyperlink" Target="https://sei.cjf.jus.br/sei/controlador.php?acao=procedimento_trabalhar&amp;id_procedimento=473010&amp;id_documento=529473" TargetMode="External"/><Relationship Id="rId10" Type="http://schemas.openxmlformats.org/officeDocument/2006/relationships/hyperlink" Target="https://sei.cjf.jus.br/sei/controlador.php?acao=procedimento_trabalhar&amp;id_procedimento=331620&amp;id_documento=544156" TargetMode="External"/><Relationship Id="rId4" Type="http://schemas.openxmlformats.org/officeDocument/2006/relationships/hyperlink" Target="https://sei.cjf.jus.br/sei/controlador.php?acao=procedimento_trabalhar&amp;id_procedimento=508815&amp;id_documento=545906" TargetMode="External"/><Relationship Id="rId9" Type="http://schemas.openxmlformats.org/officeDocument/2006/relationships/hyperlink" Target="https://sei.cjf.jus.br/sei/controlador.php?acao=procedimento_trabalhar&amp;id_procedimento=331620&amp;id_documento=441550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cjf.jus.br/sei/controlador.php?acao=procedimento_trabalhar&amp;id_procedimento=442372&amp;id_documento=564620" TargetMode="External"/><Relationship Id="rId3" Type="http://schemas.openxmlformats.org/officeDocument/2006/relationships/hyperlink" Target="https://sei.cjf.jus.br/sei/controlador.php?acao=procedimento_trabalhar&amp;id_procedimento=464462&amp;id_documento=567420" TargetMode="External"/><Relationship Id="rId7" Type="http://schemas.openxmlformats.org/officeDocument/2006/relationships/hyperlink" Target="https://sei.cjf.jus.br/sei/controlador.php?acao=procedimento_trabalhar&amp;id_procedimento=442372&amp;id_documento=561423" TargetMode="External"/><Relationship Id="rId2" Type="http://schemas.openxmlformats.org/officeDocument/2006/relationships/hyperlink" Target="https://sei.cjf.jus.br/sei/controlador.php?acao=procedimento_trabalhar&amp;id_procedimento=430816&amp;id_documento=565606" TargetMode="External"/><Relationship Id="rId1" Type="http://schemas.openxmlformats.org/officeDocument/2006/relationships/hyperlink" Target="https://sei.cjf.jus.br/sei/controlador.php?acao=procedimento_trabalhar&amp;id_procedimento=430816&amp;id_documento=557296" TargetMode="External"/><Relationship Id="rId6" Type="http://schemas.openxmlformats.org/officeDocument/2006/relationships/hyperlink" Target="https://sei.cjf.jus.br/sei/controlador.php?acao=procedimento_trabalhar&amp;id_procedimento=464461&amp;id_documento=576308" TargetMode="External"/><Relationship Id="rId5" Type="http://schemas.openxmlformats.org/officeDocument/2006/relationships/hyperlink" Target="https://sei.cjf.jus.br/sei/controlador.php?acao=procedimento_trabalhar&amp;id_procedimento=464461&amp;id_documento=573678" TargetMode="External"/><Relationship Id="rId4" Type="http://schemas.openxmlformats.org/officeDocument/2006/relationships/hyperlink" Target="https://sei.cjf.jus.br/sei/controlador.php?acao=procedimento_trabalhar&amp;id_procedimento=464462&amp;id_documento=576310" TargetMode="External"/><Relationship Id="rId9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cjf.jus.br/sei/controlador.php?acao=procedimento_trabalhar&amp;id_procedimento=226414" TargetMode="External"/><Relationship Id="rId13" Type="http://schemas.openxmlformats.org/officeDocument/2006/relationships/hyperlink" Target="https://sei.cjf.jus.br/sei/controlador.php?acao=procedimento_trabalhar&amp;id_procedimento=473010" TargetMode="External"/><Relationship Id="rId3" Type="http://schemas.openxmlformats.org/officeDocument/2006/relationships/hyperlink" Target="https://sei.cjf.jus.br/sei/controlador.php?acao=procedimento_trabalhar&amp;id_procedimento=241613" TargetMode="External"/><Relationship Id="rId7" Type="http://schemas.openxmlformats.org/officeDocument/2006/relationships/hyperlink" Target="https://sei.cjf.jus.br/sei/controlador.php?acao=procedimento_trabalhar&amp;id_procedimento=168451" TargetMode="External"/><Relationship Id="rId12" Type="http://schemas.openxmlformats.org/officeDocument/2006/relationships/hyperlink" Target="https://sei.cjf.jus.br/sei/controlador.php?acao=procedimento_trabalhar&amp;id_procedimento=497867" TargetMode="External"/><Relationship Id="rId2" Type="http://schemas.openxmlformats.org/officeDocument/2006/relationships/hyperlink" Target="https://sei.cjf.jus.br/sei/controlador.php?acao=procedimento_trabalhar&amp;id_procedimento=12013" TargetMode="External"/><Relationship Id="rId1" Type="http://schemas.openxmlformats.org/officeDocument/2006/relationships/hyperlink" Target="https://sei.cjf.jus.br/sei/controlador.php?acao=procedimento_trabalhar&amp;id_procedimento=6018" TargetMode="External"/><Relationship Id="rId6" Type="http://schemas.openxmlformats.org/officeDocument/2006/relationships/hyperlink" Target="https://sei.cjf.jus.br/sei/controlador.php?acao=procedimento_trabalhar&amp;id_procedimento=190615" TargetMode="External"/><Relationship Id="rId11" Type="http://schemas.openxmlformats.org/officeDocument/2006/relationships/hyperlink" Target="https://sei.cjf.jus.br/sei/controlador.php?acao=procedimento_trabalhar&amp;id_procedimento=170475" TargetMode="External"/><Relationship Id="rId5" Type="http://schemas.openxmlformats.org/officeDocument/2006/relationships/hyperlink" Target="https://sei.cjf.jus.br/sei/controlador.php?acao=procedimento_trabalhar&amp;id_procedimento=331620" TargetMode="External"/><Relationship Id="rId15" Type="http://schemas.openxmlformats.org/officeDocument/2006/relationships/printerSettings" Target="../printerSettings/printerSettings15.bin"/><Relationship Id="rId10" Type="http://schemas.openxmlformats.org/officeDocument/2006/relationships/hyperlink" Target="https://sei.cjf.jus.br/sei/controlador.php?acao=procedimento_trabalhar&amp;id_procedimento=134109" TargetMode="External"/><Relationship Id="rId4" Type="http://schemas.openxmlformats.org/officeDocument/2006/relationships/hyperlink" Target="https://sei.cjf.jus.br/sei/controlador.php?acao=procedimento_trabalhar&amp;id_procedimento=399842" TargetMode="External"/><Relationship Id="rId9" Type="http://schemas.openxmlformats.org/officeDocument/2006/relationships/hyperlink" Target="https://sei.cjf.jus.br/sei/controlador.php?acao=protocolo_visualizar&amp;id_protocolo=436719&amp;id_procedimento_atual=534147&amp;infra_sistema=100000100&amp;infra_unidade_atual=110001518&amp;infra_hash=3fd147e1e97e5cdc13ae6884d0eb360cb0318fe0ec6fe951ba016e9136783806187880b059dd492a6bee3167bb79f21b558b7d1573d749fb766b765eef5c481c41f1394791733f6dcd237ccf181ebc8c7689e8e7cf1442ebb44034827e062933" TargetMode="External"/><Relationship Id="rId14" Type="http://schemas.openxmlformats.org/officeDocument/2006/relationships/hyperlink" Target="https://sei.cjf.jus.br/sei/controlador.php?acao=procedimento_trabalhar&amp;id_procedimento=134109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sei.cjf.jus.br/sei/controlador.php?acao=procedimento_trabalhar&amp;id_procedimento=508815" TargetMode="External"/><Relationship Id="rId13" Type="http://schemas.openxmlformats.org/officeDocument/2006/relationships/hyperlink" Target="https://sei.cjf.jus.br/sei/controlador.php?acao=procedimento_trabalhar&amp;id_procedimento=711825" TargetMode="External"/><Relationship Id="rId3" Type="http://schemas.openxmlformats.org/officeDocument/2006/relationships/hyperlink" Target="https://sei.cjf.jus.br/sei/controlador.php?acao=procedimento_trabalhar&amp;id_procedimento=711825" TargetMode="External"/><Relationship Id="rId7" Type="http://schemas.openxmlformats.org/officeDocument/2006/relationships/hyperlink" Target="https://sei.cjf.jus.br/sei/controlador.php?acao=procedimento_trabalhar&amp;id_procedimento=189956" TargetMode="External"/><Relationship Id="rId12" Type="http://schemas.openxmlformats.org/officeDocument/2006/relationships/hyperlink" Target="https://sei.cjf.jus.br/sei/controlador.php?acao=procedimento_trabalhar&amp;id_procedimento=415132" TargetMode="External"/><Relationship Id="rId2" Type="http://schemas.openxmlformats.org/officeDocument/2006/relationships/hyperlink" Target="https://sei.cjf.jus.br/sei/controlador.php?acao=procedimento_trabalhar&amp;id_procedimento=754668" TargetMode="External"/><Relationship Id="rId1" Type="http://schemas.openxmlformats.org/officeDocument/2006/relationships/hyperlink" Target="https://sei.cjf.jus.br/sei/controlador.php?acao=procedimento_trabalhar&amp;id_procedimento=473010" TargetMode="External"/><Relationship Id="rId6" Type="http://schemas.openxmlformats.org/officeDocument/2006/relationships/hyperlink" Target="https://sei.cjf.jus.br/sei/controlador.php?acao=procedimento_trabalhar&amp;id_procedimento=684043" TargetMode="External"/><Relationship Id="rId11" Type="http://schemas.openxmlformats.org/officeDocument/2006/relationships/hyperlink" Target="https://sei.cjf.jus.br/sei/controlador.php?acao=procedimento_trabalhar&amp;id_procedimento=711667" TargetMode="External"/><Relationship Id="rId5" Type="http://schemas.openxmlformats.org/officeDocument/2006/relationships/hyperlink" Target="https://sei.cjf.jus.br/sei/controlador.php?acao=procedimento_trabalhar&amp;id_procedimento=159158" TargetMode="External"/><Relationship Id="rId10" Type="http://schemas.openxmlformats.org/officeDocument/2006/relationships/hyperlink" Target="https://sei.cjf.jus.br/sei/controlador.php?acao=procedimento_trabalhar&amp;id_procedimento=795907" TargetMode="External"/><Relationship Id="rId4" Type="http://schemas.openxmlformats.org/officeDocument/2006/relationships/hyperlink" Target="https://sei.cjf.jus.br/sei/controlador.php?acao=procedimento_trabalhar&amp;id_procedimento=577871" TargetMode="External"/><Relationship Id="rId9" Type="http://schemas.openxmlformats.org/officeDocument/2006/relationships/hyperlink" Target="https://sei.cjf.jus.br/sei/controlador.php?acao=procedimento_trabalhar&amp;id_procedimento=442372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378F-A586-4C70-8CF0-1C792DA312CA}">
  <dimension ref="B1:N9"/>
  <sheetViews>
    <sheetView zoomScale="80" zoomScaleNormal="80" workbookViewId="0">
      <selection activeCell="E14" sqref="E14"/>
    </sheetView>
  </sheetViews>
  <sheetFormatPr defaultRowHeight="15"/>
  <cols>
    <col min="1" max="1" width="3.5703125" customWidth="1"/>
    <col min="2" max="2" width="18.5703125" customWidth="1"/>
    <col min="3" max="4" width="27" customWidth="1"/>
    <col min="5" max="5" width="28.7109375" customWidth="1"/>
    <col min="6" max="6" width="45.140625" bestFit="1" customWidth="1"/>
    <col min="7" max="7" width="18.7109375" customWidth="1"/>
    <col min="8" max="8" width="28" bestFit="1" customWidth="1"/>
    <col min="9" max="9" width="19.85546875" customWidth="1"/>
    <col min="10" max="11" width="17.7109375" customWidth="1"/>
    <col min="12" max="14" width="22.7109375" customWidth="1"/>
  </cols>
  <sheetData>
    <row r="1" spans="2:14" ht="15.75" thickBot="1"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2:14" ht="54" customHeight="1" thickBot="1">
      <c r="B2" s="271" t="s">
        <v>0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3"/>
    </row>
    <row r="3" spans="2:14" ht="30">
      <c r="B3" s="121" t="s">
        <v>1</v>
      </c>
      <c r="C3" s="122" t="s">
        <v>2</v>
      </c>
      <c r="D3" s="122"/>
      <c r="E3" s="122" t="s">
        <v>3</v>
      </c>
      <c r="F3" s="122" t="s">
        <v>4</v>
      </c>
      <c r="G3" s="122" t="s">
        <v>5</v>
      </c>
      <c r="H3" s="121" t="s">
        <v>6</v>
      </c>
      <c r="I3" s="122" t="s">
        <v>7</v>
      </c>
      <c r="J3" s="122" t="s">
        <v>8</v>
      </c>
      <c r="K3" s="122" t="s">
        <v>9</v>
      </c>
      <c r="L3" s="121" t="s">
        <v>10</v>
      </c>
      <c r="M3" s="121" t="s">
        <v>11</v>
      </c>
      <c r="N3" s="121" t="s">
        <v>12</v>
      </c>
    </row>
    <row r="4" spans="2:14" ht="30">
      <c r="B4" s="62" t="s">
        <v>13</v>
      </c>
      <c r="C4" s="62" t="s">
        <v>14</v>
      </c>
      <c r="D4" s="62"/>
      <c r="E4" s="1" t="s">
        <v>15</v>
      </c>
      <c r="F4" s="62"/>
      <c r="G4" s="62"/>
      <c r="H4" s="62"/>
      <c r="I4" s="62"/>
      <c r="J4" s="62"/>
      <c r="K4" s="62"/>
      <c r="L4" s="62"/>
      <c r="M4" s="62"/>
      <c r="N4" s="62"/>
    </row>
    <row r="5" spans="2:14" ht="30">
      <c r="B5" s="62" t="s">
        <v>16</v>
      </c>
      <c r="C5" s="62" t="s">
        <v>17</v>
      </c>
      <c r="D5" s="62"/>
      <c r="E5" s="1" t="s">
        <v>18</v>
      </c>
      <c r="F5" s="62"/>
      <c r="G5" s="62"/>
      <c r="H5" s="62"/>
      <c r="I5" s="62"/>
      <c r="J5" s="62"/>
      <c r="K5" s="62"/>
      <c r="L5" s="62"/>
      <c r="M5" s="62"/>
      <c r="N5" s="62"/>
    </row>
    <row r="6" spans="2:14" ht="45">
      <c r="B6" s="62" t="s">
        <v>19</v>
      </c>
      <c r="C6" s="62" t="s">
        <v>20</v>
      </c>
      <c r="D6" s="62"/>
      <c r="E6" s="1" t="s">
        <v>21</v>
      </c>
      <c r="F6" s="62"/>
      <c r="G6" s="62"/>
      <c r="H6" s="62"/>
      <c r="I6" s="62"/>
      <c r="J6" s="62"/>
      <c r="K6" s="62"/>
      <c r="L6" s="62"/>
      <c r="M6" s="62"/>
      <c r="N6" s="62"/>
    </row>
    <row r="7" spans="2:14" ht="30">
      <c r="B7" s="62" t="s">
        <v>22</v>
      </c>
      <c r="C7" s="62" t="s">
        <v>23</v>
      </c>
      <c r="D7" s="62"/>
      <c r="E7" s="1" t="s">
        <v>18</v>
      </c>
      <c r="F7" s="62"/>
      <c r="G7" s="62"/>
      <c r="H7" s="62"/>
      <c r="I7" s="62"/>
      <c r="J7" s="62"/>
      <c r="K7" s="62"/>
      <c r="L7" s="62"/>
      <c r="M7" s="62"/>
      <c r="N7" s="62"/>
    </row>
    <row r="8" spans="2:14" ht="30">
      <c r="B8" s="62" t="s">
        <v>24</v>
      </c>
      <c r="C8" s="62" t="s">
        <v>25</v>
      </c>
      <c r="D8" s="62"/>
      <c r="E8" s="1" t="s">
        <v>26</v>
      </c>
      <c r="F8" s="62"/>
      <c r="G8" s="62"/>
      <c r="H8" s="62"/>
      <c r="I8" s="62"/>
      <c r="J8" s="62"/>
      <c r="K8" s="62"/>
      <c r="L8" s="62"/>
      <c r="M8" s="62"/>
      <c r="N8" s="62"/>
    </row>
    <row r="9" spans="2:14" ht="30">
      <c r="B9" s="62" t="s">
        <v>27</v>
      </c>
      <c r="C9" s="62" t="s">
        <v>28</v>
      </c>
      <c r="D9" s="62"/>
      <c r="E9" s="1" t="s">
        <v>29</v>
      </c>
      <c r="F9" s="62"/>
      <c r="G9" s="62"/>
      <c r="H9" s="62"/>
      <c r="I9" s="62"/>
      <c r="J9" s="62"/>
      <c r="K9" s="62"/>
      <c r="L9" s="62"/>
      <c r="M9" s="62"/>
      <c r="N9" s="62"/>
    </row>
  </sheetData>
  <autoFilter ref="B3:N3" xr:uid="{A81B378F-A586-4C70-8CF0-1C792DA312CA}"/>
  <mergeCells count="1">
    <mergeCell ref="B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EC86-91AB-49A5-B8D0-B7288C9B69DD}">
  <sheetPr filterMode="1"/>
  <dimension ref="B1:N14"/>
  <sheetViews>
    <sheetView topLeftCell="A2" zoomScale="80" zoomScaleNormal="80" workbookViewId="0">
      <selection activeCell="F13" sqref="F13"/>
    </sheetView>
  </sheetViews>
  <sheetFormatPr defaultRowHeight="15"/>
  <cols>
    <col min="1" max="1" width="3.5703125" customWidth="1"/>
    <col min="2" max="2" width="18.5703125" customWidth="1"/>
    <col min="3" max="4" width="27" customWidth="1"/>
    <col min="5" max="5" width="28.7109375" customWidth="1"/>
    <col min="6" max="6" width="45.140625" bestFit="1" customWidth="1"/>
    <col min="7" max="7" width="18.7109375" customWidth="1"/>
    <col min="8" max="8" width="28" bestFit="1" customWidth="1"/>
    <col min="9" max="9" width="19.85546875" customWidth="1"/>
    <col min="10" max="11" width="17.7109375" customWidth="1"/>
    <col min="12" max="14" width="22.7109375" customWidth="1"/>
  </cols>
  <sheetData>
    <row r="1" spans="2:14" ht="15.75" thickBot="1"/>
    <row r="2" spans="2:14" ht="52.5" customHeight="1" thickBot="1">
      <c r="B2" s="271" t="s">
        <v>30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3"/>
    </row>
    <row r="3" spans="2:14" ht="30" customHeight="1">
      <c r="B3" s="121" t="s">
        <v>1</v>
      </c>
      <c r="C3" s="122" t="s">
        <v>2</v>
      </c>
      <c r="D3" s="122" t="s">
        <v>31</v>
      </c>
      <c r="E3" s="122" t="s">
        <v>3</v>
      </c>
      <c r="F3" s="121" t="s">
        <v>4</v>
      </c>
      <c r="G3" s="122" t="s">
        <v>5</v>
      </c>
      <c r="H3" s="121" t="s">
        <v>6</v>
      </c>
      <c r="I3" s="122" t="s">
        <v>7</v>
      </c>
      <c r="J3" s="122" t="s">
        <v>8</v>
      </c>
      <c r="K3" s="122" t="s">
        <v>9</v>
      </c>
      <c r="L3" s="121" t="s">
        <v>10</v>
      </c>
      <c r="M3" s="121" t="s">
        <v>11</v>
      </c>
      <c r="N3" s="121" t="s">
        <v>12</v>
      </c>
    </row>
    <row r="4" spans="2:14" ht="60" hidden="1" customHeight="1">
      <c r="B4" s="130" t="s">
        <v>32</v>
      </c>
      <c r="C4" s="130" t="s">
        <v>33</v>
      </c>
      <c r="D4" s="134" t="s">
        <v>34</v>
      </c>
      <c r="E4" s="130" t="s">
        <v>35</v>
      </c>
      <c r="F4" s="130" t="s">
        <v>36</v>
      </c>
      <c r="G4" s="136">
        <v>43497</v>
      </c>
      <c r="H4" s="134" t="s">
        <v>37</v>
      </c>
      <c r="I4" s="134">
        <v>36</v>
      </c>
      <c r="J4" s="134" t="s">
        <v>38</v>
      </c>
      <c r="K4" s="136">
        <v>44592</v>
      </c>
      <c r="L4" s="134" t="s">
        <v>39</v>
      </c>
      <c r="M4" s="134" t="s">
        <v>38</v>
      </c>
      <c r="N4" s="134" t="s">
        <v>38</v>
      </c>
    </row>
    <row r="5" spans="2:14" ht="120" hidden="1">
      <c r="B5" s="130" t="s">
        <v>40</v>
      </c>
      <c r="C5" s="130" t="s">
        <v>41</v>
      </c>
      <c r="D5" s="134" t="s">
        <v>42</v>
      </c>
      <c r="E5" s="130" t="s">
        <v>43</v>
      </c>
      <c r="F5" s="130" t="s">
        <v>44</v>
      </c>
      <c r="G5" s="136">
        <v>43707</v>
      </c>
      <c r="H5" s="134" t="s">
        <v>37</v>
      </c>
      <c r="I5" s="134">
        <v>12</v>
      </c>
      <c r="J5" s="134" t="s">
        <v>38</v>
      </c>
      <c r="K5" s="136">
        <v>44072</v>
      </c>
      <c r="L5" s="134" t="s">
        <v>39</v>
      </c>
      <c r="M5" s="134" t="s">
        <v>38</v>
      </c>
      <c r="N5" s="134" t="s">
        <v>38</v>
      </c>
    </row>
    <row r="6" spans="2:14" ht="64.5" hidden="1" customHeight="1">
      <c r="B6" s="130" t="s">
        <v>45</v>
      </c>
      <c r="C6" s="130" t="s">
        <v>46</v>
      </c>
      <c r="D6" s="134" t="s">
        <v>47</v>
      </c>
      <c r="E6" s="130" t="s">
        <v>48</v>
      </c>
      <c r="F6" s="130" t="s">
        <v>49</v>
      </c>
      <c r="G6" s="136">
        <v>43798</v>
      </c>
      <c r="H6" s="134" t="s">
        <v>37</v>
      </c>
      <c r="I6" s="134">
        <v>60</v>
      </c>
      <c r="J6" s="134" t="s">
        <v>38</v>
      </c>
      <c r="K6" s="136">
        <v>45624</v>
      </c>
      <c r="L6" s="134" t="s">
        <v>39</v>
      </c>
      <c r="M6" s="134" t="s">
        <v>50</v>
      </c>
      <c r="N6" s="130" t="s">
        <v>51</v>
      </c>
    </row>
    <row r="7" spans="2:14" ht="55.5" hidden="1" customHeight="1">
      <c r="B7" s="130" t="s">
        <v>52</v>
      </c>
      <c r="C7" s="130" t="s">
        <v>53</v>
      </c>
      <c r="D7" s="134" t="s">
        <v>34</v>
      </c>
      <c r="E7" s="130" t="s">
        <v>54</v>
      </c>
      <c r="F7" s="130" t="s">
        <v>55</v>
      </c>
      <c r="G7" s="136">
        <v>43712</v>
      </c>
      <c r="H7" s="130" t="s">
        <v>56</v>
      </c>
      <c r="I7" s="134">
        <v>36</v>
      </c>
      <c r="J7" s="134" t="s">
        <v>38</v>
      </c>
      <c r="K7" s="136">
        <v>44834</v>
      </c>
      <c r="L7" s="134" t="s">
        <v>39</v>
      </c>
      <c r="M7" s="134" t="s">
        <v>38</v>
      </c>
      <c r="N7" s="134" t="s">
        <v>38</v>
      </c>
    </row>
    <row r="8" spans="2:14" ht="62.25" hidden="1" customHeight="1">
      <c r="B8" s="130" t="s">
        <v>57</v>
      </c>
      <c r="C8" s="130" t="s">
        <v>58</v>
      </c>
      <c r="D8" s="134" t="s">
        <v>34</v>
      </c>
      <c r="E8" s="130" t="s">
        <v>59</v>
      </c>
      <c r="F8" s="130" t="s">
        <v>60</v>
      </c>
      <c r="G8" s="136">
        <v>43760</v>
      </c>
      <c r="H8" s="130" t="s">
        <v>61</v>
      </c>
      <c r="I8" s="134">
        <v>30</v>
      </c>
      <c r="J8" s="134" t="s">
        <v>62</v>
      </c>
      <c r="K8" s="136">
        <v>45596</v>
      </c>
      <c r="L8" s="134" t="s">
        <v>39</v>
      </c>
      <c r="M8" s="134" t="s">
        <v>50</v>
      </c>
      <c r="N8" s="130" t="s">
        <v>63</v>
      </c>
    </row>
    <row r="9" spans="2:14" ht="112.5" hidden="1" customHeight="1">
      <c r="B9" s="130" t="s">
        <v>64</v>
      </c>
      <c r="C9" s="130" t="s">
        <v>65</v>
      </c>
      <c r="D9" s="134" t="s">
        <v>34</v>
      </c>
      <c r="E9" s="130" t="s">
        <v>66</v>
      </c>
      <c r="F9" s="130" t="s">
        <v>67</v>
      </c>
      <c r="G9" s="136">
        <v>43752</v>
      </c>
      <c r="H9" s="130" t="s">
        <v>68</v>
      </c>
      <c r="I9" s="134">
        <v>36</v>
      </c>
      <c r="J9" s="134" t="s">
        <v>38</v>
      </c>
      <c r="K9" s="136">
        <v>44858</v>
      </c>
      <c r="L9" s="134" t="s">
        <v>39</v>
      </c>
      <c r="M9" s="134" t="s">
        <v>38</v>
      </c>
      <c r="N9" s="134" t="s">
        <v>38</v>
      </c>
    </row>
    <row r="10" spans="2:14" ht="111" customHeight="1">
      <c r="B10" s="130" t="s">
        <v>69</v>
      </c>
      <c r="C10" s="130" t="s">
        <v>70</v>
      </c>
      <c r="D10" s="134" t="s">
        <v>34</v>
      </c>
      <c r="E10" s="130" t="s">
        <v>71</v>
      </c>
      <c r="F10" s="130" t="s">
        <v>72</v>
      </c>
      <c r="G10" s="136">
        <v>43752</v>
      </c>
      <c r="H10" s="130" t="s">
        <v>73</v>
      </c>
      <c r="I10" s="134">
        <v>60</v>
      </c>
      <c r="J10" s="134" t="s">
        <v>38</v>
      </c>
      <c r="K10" s="136">
        <v>45651</v>
      </c>
      <c r="L10" s="134" t="s">
        <v>74</v>
      </c>
      <c r="M10" s="134" t="s">
        <v>50</v>
      </c>
      <c r="N10" s="130" t="s">
        <v>75</v>
      </c>
    </row>
    <row r="11" spans="2:14" ht="70.5" hidden="1" customHeight="1">
      <c r="B11" s="130" t="s">
        <v>76</v>
      </c>
      <c r="C11" s="135" t="s">
        <v>77</v>
      </c>
      <c r="D11" s="134" t="s">
        <v>34</v>
      </c>
      <c r="E11" s="130" t="s">
        <v>78</v>
      </c>
      <c r="F11" s="134" t="s">
        <v>79</v>
      </c>
      <c r="G11" s="136">
        <v>43756</v>
      </c>
      <c r="H11" s="130" t="s">
        <v>80</v>
      </c>
      <c r="I11" s="134">
        <v>48</v>
      </c>
      <c r="J11" s="134" t="s">
        <v>38</v>
      </c>
      <c r="K11" s="136">
        <v>44549</v>
      </c>
      <c r="L11" s="134" t="s">
        <v>39</v>
      </c>
      <c r="M11" s="134" t="s">
        <v>50</v>
      </c>
      <c r="N11" s="134" t="s">
        <v>38</v>
      </c>
    </row>
    <row r="12" spans="2:14" ht="58.5" customHeight="1">
      <c r="B12" s="130" t="s">
        <v>81</v>
      </c>
      <c r="C12" s="130" t="s">
        <v>82</v>
      </c>
      <c r="D12" s="134" t="s">
        <v>34</v>
      </c>
      <c r="E12" s="130" t="s">
        <v>83</v>
      </c>
      <c r="F12" s="130" t="s">
        <v>84</v>
      </c>
      <c r="G12" s="136">
        <v>43795</v>
      </c>
      <c r="H12" s="130" t="s">
        <v>85</v>
      </c>
      <c r="I12" s="134">
        <v>60</v>
      </c>
      <c r="J12" s="134" t="s">
        <v>38</v>
      </c>
      <c r="K12" s="136">
        <v>45789</v>
      </c>
      <c r="L12" s="134" t="s">
        <v>74</v>
      </c>
      <c r="M12" s="134" t="s">
        <v>50</v>
      </c>
      <c r="N12" s="130" t="s">
        <v>86</v>
      </c>
    </row>
    <row r="13" spans="2:14" ht="77.25" customHeight="1">
      <c r="B13" s="130" t="s">
        <v>87</v>
      </c>
      <c r="C13" s="130" t="s">
        <v>88</v>
      </c>
      <c r="D13" s="134" t="s">
        <v>89</v>
      </c>
      <c r="E13" s="130" t="s">
        <v>90</v>
      </c>
      <c r="F13" s="130" t="s">
        <v>91</v>
      </c>
      <c r="G13" s="136">
        <v>43802</v>
      </c>
      <c r="H13" s="130" t="s">
        <v>92</v>
      </c>
      <c r="I13" s="134">
        <v>60</v>
      </c>
      <c r="J13" s="134" t="s">
        <v>38</v>
      </c>
      <c r="K13" s="151">
        <v>45652</v>
      </c>
      <c r="L13" s="134" t="s">
        <v>74</v>
      </c>
      <c r="M13" s="134" t="s">
        <v>50</v>
      </c>
      <c r="N13" s="130" t="s">
        <v>93</v>
      </c>
    </row>
    <row r="14" spans="2:14" ht="85.5" customHeight="1">
      <c r="B14" s="130" t="s">
        <v>94</v>
      </c>
      <c r="C14" s="130" t="s">
        <v>88</v>
      </c>
      <c r="D14" s="134" t="s">
        <v>89</v>
      </c>
      <c r="E14" s="130" t="s">
        <v>95</v>
      </c>
      <c r="F14" s="130" t="s">
        <v>96</v>
      </c>
      <c r="G14" s="136">
        <v>43798</v>
      </c>
      <c r="H14" s="130" t="s">
        <v>97</v>
      </c>
      <c r="I14" s="134">
        <v>60</v>
      </c>
      <c r="J14" s="134" t="s">
        <v>38</v>
      </c>
      <c r="K14" s="151">
        <v>45651</v>
      </c>
      <c r="L14" s="134" t="s">
        <v>74</v>
      </c>
      <c r="M14" s="134" t="s">
        <v>50</v>
      </c>
      <c r="N14" s="130" t="s">
        <v>98</v>
      </c>
    </row>
  </sheetData>
  <autoFilter ref="B3:N14" xr:uid="{324FEC86-91AB-49A5-B8D0-B7288C9B69DD}">
    <filterColumn colId="10">
      <filters>
        <filter val="Vigente"/>
      </filters>
    </filterColumn>
  </autoFilter>
  <mergeCells count="1">
    <mergeCell ref="B2:N2"/>
  </mergeCells>
  <conditionalFormatting sqref="L10 L12:L14">
    <cfRule type="cellIs" dxfId="21" priority="1" operator="equal">
      <formula>"Vigente"</formula>
    </cfRule>
    <cfRule type="cellIs" dxfId="20" priority="2" operator="equal">
      <formula>"Encerrado"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B0E9-BA1F-4D22-A50A-3F7BE6BF3D04}">
  <sheetPr filterMode="1"/>
  <dimension ref="B1:N18"/>
  <sheetViews>
    <sheetView topLeftCell="A2" zoomScale="80" zoomScaleNormal="80" workbookViewId="0">
      <selection activeCell="G8" sqref="G8"/>
    </sheetView>
  </sheetViews>
  <sheetFormatPr defaultRowHeight="15"/>
  <cols>
    <col min="1" max="1" width="3.5703125" customWidth="1"/>
    <col min="2" max="2" width="18.5703125" customWidth="1"/>
    <col min="3" max="4" width="27" customWidth="1"/>
    <col min="5" max="5" width="28.7109375" customWidth="1"/>
    <col min="6" max="6" width="45.140625" bestFit="1" customWidth="1"/>
    <col min="7" max="7" width="18.7109375" customWidth="1"/>
    <col min="8" max="8" width="28" bestFit="1" customWidth="1"/>
    <col min="9" max="9" width="19.85546875" customWidth="1"/>
    <col min="10" max="11" width="17.7109375" customWidth="1"/>
    <col min="12" max="14" width="22.7109375" customWidth="1"/>
  </cols>
  <sheetData>
    <row r="1" spans="2:14" ht="15.75" thickBot="1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2:14" ht="53.25" customHeight="1" thickBot="1">
      <c r="B2" s="271" t="s">
        <v>99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3"/>
    </row>
    <row r="3" spans="2:14" ht="30">
      <c r="B3" s="121" t="s">
        <v>1</v>
      </c>
      <c r="C3" s="122" t="s">
        <v>2</v>
      </c>
      <c r="D3" s="122" t="s">
        <v>31</v>
      </c>
      <c r="E3" s="122" t="s">
        <v>3</v>
      </c>
      <c r="F3" s="122" t="s">
        <v>4</v>
      </c>
      <c r="G3" s="121" t="s">
        <v>5</v>
      </c>
      <c r="H3" s="121" t="s">
        <v>6</v>
      </c>
      <c r="I3" s="121" t="s">
        <v>7</v>
      </c>
      <c r="J3" s="122" t="s">
        <v>8</v>
      </c>
      <c r="K3" s="121" t="s">
        <v>9</v>
      </c>
      <c r="L3" s="121" t="s">
        <v>10</v>
      </c>
      <c r="M3" s="121" t="s">
        <v>11</v>
      </c>
      <c r="N3" s="121" t="s">
        <v>12</v>
      </c>
    </row>
    <row r="4" spans="2:14" ht="30">
      <c r="B4" s="130" t="s">
        <v>100</v>
      </c>
      <c r="C4" s="130" t="s">
        <v>101</v>
      </c>
      <c r="D4" s="134" t="s">
        <v>102</v>
      </c>
      <c r="E4" s="132" t="s">
        <v>103</v>
      </c>
      <c r="F4" s="130" t="s">
        <v>104</v>
      </c>
      <c r="G4" s="136">
        <v>43893</v>
      </c>
      <c r="H4" s="130" t="s">
        <v>105</v>
      </c>
      <c r="I4" s="134">
        <v>30</v>
      </c>
      <c r="J4" s="130" t="s">
        <v>106</v>
      </c>
      <c r="K4" s="133">
        <v>45738</v>
      </c>
      <c r="L4" s="134" t="s">
        <v>39</v>
      </c>
      <c r="M4" s="134" t="s">
        <v>50</v>
      </c>
      <c r="N4" s="130" t="s">
        <v>107</v>
      </c>
    </row>
    <row r="5" spans="2:14" ht="45">
      <c r="B5" s="130" t="s">
        <v>108</v>
      </c>
      <c r="C5" s="130" t="s">
        <v>109</v>
      </c>
      <c r="D5" s="130" t="s">
        <v>110</v>
      </c>
      <c r="E5" s="137" t="s">
        <v>111</v>
      </c>
      <c r="F5" s="130" t="s">
        <v>112</v>
      </c>
      <c r="G5" s="136">
        <v>43948</v>
      </c>
      <c r="H5" s="130" t="s">
        <v>105</v>
      </c>
      <c r="I5" s="134">
        <v>12</v>
      </c>
      <c r="J5" s="130" t="s">
        <v>113</v>
      </c>
      <c r="K5" s="133">
        <v>46197</v>
      </c>
      <c r="L5" s="171" t="s">
        <v>74</v>
      </c>
      <c r="M5" s="134" t="s">
        <v>50</v>
      </c>
      <c r="N5" s="130" t="s">
        <v>114</v>
      </c>
    </row>
    <row r="6" spans="2:14" ht="60">
      <c r="B6" s="130" t="s">
        <v>115</v>
      </c>
      <c r="C6" s="130" t="s">
        <v>116</v>
      </c>
      <c r="D6" s="134" t="s">
        <v>117</v>
      </c>
      <c r="E6" s="132" t="s">
        <v>118</v>
      </c>
      <c r="F6" s="130" t="s">
        <v>119</v>
      </c>
      <c r="G6" s="136">
        <v>43951</v>
      </c>
      <c r="H6" s="134" t="s">
        <v>37</v>
      </c>
      <c r="I6" s="134">
        <v>30</v>
      </c>
      <c r="J6" s="130" t="s">
        <v>120</v>
      </c>
      <c r="K6" s="133">
        <v>45776</v>
      </c>
      <c r="L6" s="134" t="s">
        <v>74</v>
      </c>
      <c r="M6" s="134" t="s">
        <v>50</v>
      </c>
      <c r="N6" s="130" t="s">
        <v>121</v>
      </c>
    </row>
    <row r="7" spans="2:14" ht="45">
      <c r="B7" s="130" t="s">
        <v>122</v>
      </c>
      <c r="C7" s="130" t="s">
        <v>123</v>
      </c>
      <c r="D7" s="134" t="s">
        <v>34</v>
      </c>
      <c r="E7" s="132" t="s">
        <v>124</v>
      </c>
      <c r="F7" s="130" t="s">
        <v>125</v>
      </c>
      <c r="G7" s="136">
        <v>43979</v>
      </c>
      <c r="H7" s="130" t="s">
        <v>126</v>
      </c>
      <c r="I7" s="130">
        <v>36</v>
      </c>
      <c r="J7" s="130" t="s">
        <v>50</v>
      </c>
      <c r="K7" s="133">
        <v>45838</v>
      </c>
      <c r="L7" s="134" t="s">
        <v>39</v>
      </c>
      <c r="M7" s="134" t="s">
        <v>50</v>
      </c>
      <c r="N7" s="130" t="s">
        <v>127</v>
      </c>
    </row>
    <row r="8" spans="2:14" ht="45">
      <c r="B8" s="130" t="s">
        <v>128</v>
      </c>
      <c r="C8" s="130" t="s">
        <v>129</v>
      </c>
      <c r="D8" s="134" t="s">
        <v>89</v>
      </c>
      <c r="E8" s="135" t="s">
        <v>130</v>
      </c>
      <c r="F8" s="130" t="s">
        <v>131</v>
      </c>
      <c r="G8" s="136">
        <v>44029</v>
      </c>
      <c r="H8" s="134" t="s">
        <v>132</v>
      </c>
      <c r="I8" s="134">
        <v>60</v>
      </c>
      <c r="J8" s="130" t="s">
        <v>50</v>
      </c>
      <c r="K8" s="133">
        <v>45855</v>
      </c>
      <c r="L8" s="134" t="s">
        <v>74</v>
      </c>
      <c r="M8" s="134" t="s">
        <v>50</v>
      </c>
      <c r="N8" s="130" t="s">
        <v>133</v>
      </c>
    </row>
    <row r="9" spans="2:14" ht="30">
      <c r="B9" s="130" t="s">
        <v>134</v>
      </c>
      <c r="C9" s="130" t="s">
        <v>135</v>
      </c>
      <c r="D9" s="134" t="s">
        <v>34</v>
      </c>
      <c r="E9" s="132" t="s">
        <v>136</v>
      </c>
      <c r="F9" s="130" t="s">
        <v>137</v>
      </c>
      <c r="G9" s="136">
        <v>44092</v>
      </c>
      <c r="H9" s="134" t="s">
        <v>138</v>
      </c>
      <c r="I9" s="134">
        <v>20</v>
      </c>
      <c r="J9" s="130" t="s">
        <v>139</v>
      </c>
      <c r="K9" s="133">
        <v>45921</v>
      </c>
      <c r="L9" s="134" t="s">
        <v>74</v>
      </c>
      <c r="M9" s="134" t="s">
        <v>50</v>
      </c>
      <c r="N9" s="130" t="s">
        <v>140</v>
      </c>
    </row>
    <row r="10" spans="2:14" ht="45">
      <c r="B10" s="130" t="s">
        <v>141</v>
      </c>
      <c r="C10" s="130" t="s">
        <v>135</v>
      </c>
      <c r="D10" s="134" t="s">
        <v>34</v>
      </c>
      <c r="E10" s="132" t="s">
        <v>142</v>
      </c>
      <c r="F10" s="130" t="s">
        <v>137</v>
      </c>
      <c r="G10" s="136">
        <v>44092</v>
      </c>
      <c r="H10" s="134" t="s">
        <v>138</v>
      </c>
      <c r="I10" s="134">
        <v>20</v>
      </c>
      <c r="J10" s="130" t="s">
        <v>143</v>
      </c>
      <c r="K10" s="133">
        <v>45921</v>
      </c>
      <c r="L10" s="134" t="s">
        <v>74</v>
      </c>
      <c r="M10" s="134" t="s">
        <v>50</v>
      </c>
      <c r="N10" s="130" t="s">
        <v>140</v>
      </c>
    </row>
    <row r="11" spans="2:14" ht="30" customHeight="1">
      <c r="B11" s="130" t="s">
        <v>144</v>
      </c>
      <c r="C11" s="130" t="s">
        <v>145</v>
      </c>
      <c r="D11" s="130" t="s">
        <v>146</v>
      </c>
      <c r="E11" s="132" t="s">
        <v>147</v>
      </c>
      <c r="F11" s="130" t="s">
        <v>148</v>
      </c>
      <c r="G11" s="136">
        <v>44102</v>
      </c>
      <c r="H11" s="130" t="s">
        <v>149</v>
      </c>
      <c r="I11" s="130">
        <v>36</v>
      </c>
      <c r="J11" s="134" t="s">
        <v>50</v>
      </c>
      <c r="K11" s="141">
        <v>45206</v>
      </c>
      <c r="L11" s="134" t="s">
        <v>39</v>
      </c>
      <c r="M11" s="134" t="s">
        <v>38</v>
      </c>
      <c r="N11" s="134" t="s">
        <v>38</v>
      </c>
    </row>
    <row r="12" spans="2:14" ht="30" customHeight="1">
      <c r="B12" s="130" t="s">
        <v>150</v>
      </c>
      <c r="C12" s="130" t="s">
        <v>151</v>
      </c>
      <c r="D12" s="134" t="s">
        <v>152</v>
      </c>
      <c r="E12" s="132" t="s">
        <v>153</v>
      </c>
      <c r="F12" s="130" t="s">
        <v>154</v>
      </c>
      <c r="G12" s="136">
        <v>44131</v>
      </c>
      <c r="H12" s="130" t="s">
        <v>155</v>
      </c>
      <c r="I12" s="134">
        <v>24</v>
      </c>
      <c r="J12" s="134" t="s">
        <v>50</v>
      </c>
      <c r="K12" s="141">
        <v>44870</v>
      </c>
      <c r="L12" s="134" t="s">
        <v>39</v>
      </c>
      <c r="M12" s="134" t="s">
        <v>38</v>
      </c>
      <c r="N12" s="134" t="s">
        <v>38</v>
      </c>
    </row>
    <row r="13" spans="2:14" ht="46.5" customHeight="1">
      <c r="B13" s="130" t="s">
        <v>156</v>
      </c>
      <c r="C13" s="130" t="s">
        <v>157</v>
      </c>
      <c r="D13" s="134" t="s">
        <v>89</v>
      </c>
      <c r="E13" s="132" t="s">
        <v>158</v>
      </c>
      <c r="F13" s="130" t="s">
        <v>159</v>
      </c>
      <c r="G13" s="136">
        <v>44146</v>
      </c>
      <c r="H13" s="130" t="s">
        <v>160</v>
      </c>
      <c r="I13" s="134">
        <v>12</v>
      </c>
      <c r="J13" s="134" t="s">
        <v>50</v>
      </c>
      <c r="K13" s="141">
        <v>44515</v>
      </c>
      <c r="L13" s="134" t="s">
        <v>39</v>
      </c>
      <c r="M13" s="134" t="s">
        <v>38</v>
      </c>
      <c r="N13" s="134" t="s">
        <v>38</v>
      </c>
    </row>
    <row r="14" spans="2:14" ht="30" customHeight="1">
      <c r="B14" s="130" t="s">
        <v>161</v>
      </c>
      <c r="C14" s="130" t="s">
        <v>162</v>
      </c>
      <c r="D14" s="130" t="s">
        <v>163</v>
      </c>
      <c r="E14" s="132" t="s">
        <v>147</v>
      </c>
      <c r="F14" s="130" t="s">
        <v>164</v>
      </c>
      <c r="G14" s="136">
        <v>44158</v>
      </c>
      <c r="H14" s="138" t="s">
        <v>38</v>
      </c>
      <c r="I14" s="134">
        <v>36</v>
      </c>
      <c r="J14" s="134" t="s">
        <v>50</v>
      </c>
      <c r="K14" s="138" t="s">
        <v>38</v>
      </c>
      <c r="L14" s="134" t="s">
        <v>39</v>
      </c>
      <c r="M14" s="134" t="s">
        <v>38</v>
      </c>
      <c r="N14" s="134" t="s">
        <v>38</v>
      </c>
    </row>
    <row r="15" spans="2:14" ht="75">
      <c r="B15" s="130" t="s">
        <v>165</v>
      </c>
      <c r="C15" s="130" t="s">
        <v>166</v>
      </c>
      <c r="D15" s="134" t="s">
        <v>102</v>
      </c>
      <c r="E15" s="135" t="s">
        <v>167</v>
      </c>
      <c r="F15" s="130" t="s">
        <v>168</v>
      </c>
      <c r="G15" s="136">
        <v>44196</v>
      </c>
      <c r="H15" s="130" t="s">
        <v>169</v>
      </c>
      <c r="I15" s="134">
        <v>60</v>
      </c>
      <c r="J15" s="134" t="s">
        <v>50</v>
      </c>
      <c r="K15" s="136">
        <v>46124</v>
      </c>
      <c r="L15" s="134" t="s">
        <v>74</v>
      </c>
      <c r="M15" s="134" t="s">
        <v>50</v>
      </c>
      <c r="N15" s="130" t="s">
        <v>170</v>
      </c>
    </row>
    <row r="16" spans="2:14" ht="30">
      <c r="B16" s="130" t="s">
        <v>171</v>
      </c>
      <c r="C16" s="130" t="s">
        <v>172</v>
      </c>
      <c r="D16" s="134" t="s">
        <v>34</v>
      </c>
      <c r="E16" s="139" t="s">
        <v>173</v>
      </c>
      <c r="F16" s="130" t="s">
        <v>174</v>
      </c>
      <c r="G16" s="136">
        <v>44209</v>
      </c>
      <c r="H16" s="130" t="s">
        <v>175</v>
      </c>
      <c r="I16" s="134">
        <v>30</v>
      </c>
      <c r="J16" s="134" t="s">
        <v>176</v>
      </c>
      <c r="K16" s="136">
        <v>46165</v>
      </c>
      <c r="L16" s="134" t="s">
        <v>74</v>
      </c>
      <c r="M16" s="134" t="s">
        <v>50</v>
      </c>
      <c r="N16" s="130" t="s">
        <v>177</v>
      </c>
    </row>
    <row r="17" spans="2:14" ht="45">
      <c r="B17" s="130" t="s">
        <v>178</v>
      </c>
      <c r="C17" s="130" t="s">
        <v>179</v>
      </c>
      <c r="D17" s="134" t="s">
        <v>102</v>
      </c>
      <c r="E17" s="132" t="s">
        <v>180</v>
      </c>
      <c r="F17" s="130" t="s">
        <v>181</v>
      </c>
      <c r="G17" s="136">
        <v>44195</v>
      </c>
      <c r="H17" s="136">
        <v>44195</v>
      </c>
      <c r="I17" s="134">
        <v>12</v>
      </c>
      <c r="J17" s="130" t="s">
        <v>182</v>
      </c>
      <c r="K17" s="133">
        <v>46020</v>
      </c>
      <c r="L17" s="134" t="s">
        <v>74</v>
      </c>
      <c r="M17" s="134" t="s">
        <v>50</v>
      </c>
      <c r="N17" s="130" t="s">
        <v>183</v>
      </c>
    </row>
    <row r="18" spans="2:14">
      <c r="B18" s="113"/>
      <c r="C18" s="113"/>
      <c r="D18" s="113"/>
      <c r="E18" s="113"/>
      <c r="F18" s="114"/>
      <c r="G18" s="114"/>
      <c r="H18" s="114"/>
      <c r="I18" s="114"/>
      <c r="J18" s="114"/>
      <c r="K18" s="114"/>
      <c r="L18" s="114"/>
      <c r="M18" s="114"/>
      <c r="N18" s="114"/>
    </row>
  </sheetData>
  <autoFilter ref="B3:N17" xr:uid="{7AE0B0E9-BA1F-4D22-A50A-3F7BE6BF3D04}">
    <filterColumn colId="10">
      <filters>
        <filter val="Vigente"/>
      </filters>
    </filterColumn>
  </autoFilter>
  <mergeCells count="1">
    <mergeCell ref="B2:N2"/>
  </mergeCells>
  <conditionalFormatting sqref="L4:L17">
    <cfRule type="cellIs" dxfId="19" priority="1" operator="equal">
      <formula>"Encerrado"</formula>
    </cfRule>
    <cfRule type="cellIs" dxfId="18" priority="2" operator="equal">
      <formula>"Vigente"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E9C1-FDEB-4FCE-8B3F-E2903231C26D}">
  <sheetPr filterMode="1"/>
  <dimension ref="B1:N20"/>
  <sheetViews>
    <sheetView topLeftCell="F8" zoomScale="80" zoomScaleNormal="80" workbookViewId="0">
      <selection activeCell="P17" sqref="P17"/>
    </sheetView>
  </sheetViews>
  <sheetFormatPr defaultRowHeight="15"/>
  <cols>
    <col min="1" max="1" width="3.5703125" customWidth="1"/>
    <col min="2" max="2" width="18.5703125" customWidth="1"/>
    <col min="3" max="4" width="27" customWidth="1"/>
    <col min="5" max="5" width="28.7109375" customWidth="1"/>
    <col min="6" max="6" width="45.140625" bestFit="1" customWidth="1"/>
    <col min="7" max="7" width="18.7109375" customWidth="1"/>
    <col min="8" max="8" width="28" bestFit="1" customWidth="1"/>
    <col min="9" max="9" width="19.85546875" customWidth="1"/>
    <col min="10" max="11" width="17.7109375" customWidth="1"/>
    <col min="12" max="14" width="22.7109375" customWidth="1"/>
  </cols>
  <sheetData>
    <row r="1" spans="2:14" ht="15.75" thickBot="1"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2" spans="2:14" ht="53.25" customHeight="1" thickBot="1">
      <c r="B2" s="271" t="s">
        <v>184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3"/>
    </row>
    <row r="3" spans="2:14" ht="42.75">
      <c r="B3" s="129" t="s">
        <v>1</v>
      </c>
      <c r="C3" s="129" t="s">
        <v>2</v>
      </c>
      <c r="D3" s="129" t="s">
        <v>31</v>
      </c>
      <c r="E3" s="129" t="s">
        <v>3</v>
      </c>
      <c r="F3" s="129" t="s">
        <v>4</v>
      </c>
      <c r="G3" s="129" t="s">
        <v>5</v>
      </c>
      <c r="H3" s="129" t="s">
        <v>6</v>
      </c>
      <c r="I3" s="129" t="s">
        <v>7</v>
      </c>
      <c r="J3" s="129" t="s">
        <v>8</v>
      </c>
      <c r="K3" s="129" t="s">
        <v>9</v>
      </c>
      <c r="L3" s="129" t="s">
        <v>10</v>
      </c>
      <c r="M3" s="129" t="s">
        <v>11</v>
      </c>
      <c r="N3" s="129" t="s">
        <v>12</v>
      </c>
    </row>
    <row r="4" spans="2:14" ht="45">
      <c r="B4" s="130" t="s">
        <v>185</v>
      </c>
      <c r="C4" s="131" t="s">
        <v>186</v>
      </c>
      <c r="D4" s="130" t="s">
        <v>110</v>
      </c>
      <c r="E4" s="132" t="s">
        <v>187</v>
      </c>
      <c r="F4" s="130" t="s">
        <v>188</v>
      </c>
      <c r="G4" s="133">
        <v>44376</v>
      </c>
      <c r="H4" s="130" t="s">
        <v>189</v>
      </c>
      <c r="I4" s="130">
        <v>36</v>
      </c>
      <c r="J4" s="130" t="s">
        <v>50</v>
      </c>
      <c r="K4" s="133">
        <v>45542</v>
      </c>
      <c r="L4" s="134" t="s">
        <v>39</v>
      </c>
      <c r="M4" s="134" t="s">
        <v>50</v>
      </c>
      <c r="N4" s="130" t="s">
        <v>190</v>
      </c>
    </row>
    <row r="5" spans="2:14" ht="45">
      <c r="B5" s="130" t="s">
        <v>191</v>
      </c>
      <c r="C5" s="131" t="s">
        <v>186</v>
      </c>
      <c r="D5" s="130" t="s">
        <v>110</v>
      </c>
      <c r="E5" s="132" t="s">
        <v>187</v>
      </c>
      <c r="F5" s="130" t="s">
        <v>188</v>
      </c>
      <c r="G5" s="133">
        <v>44376</v>
      </c>
      <c r="H5" s="130" t="s">
        <v>189</v>
      </c>
      <c r="I5" s="130">
        <v>36</v>
      </c>
      <c r="J5" s="130" t="s">
        <v>50</v>
      </c>
      <c r="K5" s="133">
        <v>45542</v>
      </c>
      <c r="L5" s="134" t="s">
        <v>39</v>
      </c>
      <c r="M5" s="134" t="s">
        <v>50</v>
      </c>
      <c r="N5" s="130" t="s">
        <v>190</v>
      </c>
    </row>
    <row r="6" spans="2:14" ht="45">
      <c r="B6" s="130" t="s">
        <v>192</v>
      </c>
      <c r="C6" s="131" t="s">
        <v>186</v>
      </c>
      <c r="D6" s="130" t="s">
        <v>110</v>
      </c>
      <c r="E6" s="132" t="s">
        <v>193</v>
      </c>
      <c r="F6" s="130" t="s">
        <v>188</v>
      </c>
      <c r="G6" s="133">
        <v>44376</v>
      </c>
      <c r="H6" s="130" t="s">
        <v>194</v>
      </c>
      <c r="I6" s="130">
        <v>36</v>
      </c>
      <c r="J6" s="130" t="s">
        <v>50</v>
      </c>
      <c r="K6" s="133">
        <v>45512</v>
      </c>
      <c r="L6" s="134" t="s">
        <v>39</v>
      </c>
      <c r="M6" s="134" t="s">
        <v>50</v>
      </c>
      <c r="N6" s="130" t="s">
        <v>190</v>
      </c>
    </row>
    <row r="7" spans="2:14" ht="51.75" customHeight="1">
      <c r="B7" s="130" t="s">
        <v>195</v>
      </c>
      <c r="C7" s="131" t="s">
        <v>196</v>
      </c>
      <c r="D7" s="134" t="s">
        <v>34</v>
      </c>
      <c r="E7" s="135" t="s">
        <v>197</v>
      </c>
      <c r="F7" s="130" t="s">
        <v>198</v>
      </c>
      <c r="G7" s="136">
        <v>44329</v>
      </c>
      <c r="H7" s="130" t="s">
        <v>199</v>
      </c>
      <c r="I7" s="130">
        <v>36</v>
      </c>
      <c r="J7" s="130" t="s">
        <v>50</v>
      </c>
      <c r="K7" s="133">
        <v>45438</v>
      </c>
      <c r="L7" s="134" t="s">
        <v>39</v>
      </c>
      <c r="M7" s="134" t="s">
        <v>50</v>
      </c>
      <c r="N7" s="130" t="s">
        <v>200</v>
      </c>
    </row>
    <row r="8" spans="2:14" ht="45.75">
      <c r="B8" s="130" t="s">
        <v>201</v>
      </c>
      <c r="C8" s="135" t="s">
        <v>202</v>
      </c>
      <c r="D8" s="134" t="s">
        <v>203</v>
      </c>
      <c r="E8" s="132" t="s">
        <v>204</v>
      </c>
      <c r="F8" s="130" t="s">
        <v>205</v>
      </c>
      <c r="G8" s="136">
        <v>44357</v>
      </c>
      <c r="H8" s="134" t="s">
        <v>37</v>
      </c>
      <c r="I8" s="134">
        <v>12</v>
      </c>
      <c r="J8" s="130" t="s">
        <v>50</v>
      </c>
      <c r="K8" s="134" t="s">
        <v>38</v>
      </c>
      <c r="L8" s="134" t="s">
        <v>39</v>
      </c>
      <c r="M8" s="134" t="s">
        <v>38</v>
      </c>
      <c r="N8" s="130" t="s">
        <v>206</v>
      </c>
    </row>
    <row r="9" spans="2:14" ht="30">
      <c r="B9" s="130" t="s">
        <v>207</v>
      </c>
      <c r="C9" s="131" t="s">
        <v>208</v>
      </c>
      <c r="D9" s="134" t="s">
        <v>89</v>
      </c>
      <c r="E9" s="132" t="s">
        <v>209</v>
      </c>
      <c r="F9" s="130" t="s">
        <v>210</v>
      </c>
      <c r="G9" s="136">
        <v>44400</v>
      </c>
      <c r="H9" s="130" t="s">
        <v>211</v>
      </c>
      <c r="I9" s="134">
        <v>12</v>
      </c>
      <c r="J9" s="130" t="s">
        <v>50</v>
      </c>
      <c r="K9" s="134" t="s">
        <v>38</v>
      </c>
      <c r="L9" s="134" t="s">
        <v>39</v>
      </c>
      <c r="M9" s="134" t="s">
        <v>38</v>
      </c>
      <c r="N9" s="130" t="s">
        <v>212</v>
      </c>
    </row>
    <row r="10" spans="2:14" ht="30">
      <c r="B10" s="130" t="s">
        <v>213</v>
      </c>
      <c r="C10" s="131" t="s">
        <v>214</v>
      </c>
      <c r="D10" s="134" t="s">
        <v>89</v>
      </c>
      <c r="E10" s="132" t="s">
        <v>215</v>
      </c>
      <c r="F10" s="130" t="s">
        <v>216</v>
      </c>
      <c r="G10" s="136">
        <v>44398</v>
      </c>
      <c r="H10" s="134" t="s">
        <v>37</v>
      </c>
      <c r="I10" s="134">
        <v>60</v>
      </c>
      <c r="J10" s="130" t="s">
        <v>50</v>
      </c>
      <c r="K10" s="133">
        <v>46223</v>
      </c>
      <c r="L10" s="134" t="s">
        <v>74</v>
      </c>
      <c r="M10" s="134" t="s">
        <v>50</v>
      </c>
      <c r="N10" s="130" t="s">
        <v>217</v>
      </c>
    </row>
    <row r="11" spans="2:14" ht="45">
      <c r="B11" s="130" t="s">
        <v>218</v>
      </c>
      <c r="C11" s="131" t="s">
        <v>219</v>
      </c>
      <c r="D11" s="134" t="s">
        <v>89</v>
      </c>
      <c r="E11" s="132" t="s">
        <v>220</v>
      </c>
      <c r="F11" s="130" t="s">
        <v>221</v>
      </c>
      <c r="G11" s="136">
        <v>44396</v>
      </c>
      <c r="H11" s="134" t="s">
        <v>37</v>
      </c>
      <c r="I11" s="134">
        <v>60</v>
      </c>
      <c r="J11" s="130" t="s">
        <v>50</v>
      </c>
      <c r="K11" s="133">
        <v>46221</v>
      </c>
      <c r="L11" s="134" t="s">
        <v>74</v>
      </c>
      <c r="M11" s="134" t="s">
        <v>50</v>
      </c>
      <c r="N11" s="130" t="s">
        <v>217</v>
      </c>
    </row>
    <row r="12" spans="2:14" ht="45">
      <c r="B12" s="130" t="s">
        <v>222</v>
      </c>
      <c r="C12" s="131" t="s">
        <v>223</v>
      </c>
      <c r="D12" s="134" t="s">
        <v>34</v>
      </c>
      <c r="E12" s="132" t="s">
        <v>224</v>
      </c>
      <c r="F12" s="130" t="s">
        <v>225</v>
      </c>
      <c r="G12" s="136">
        <v>44462</v>
      </c>
      <c r="H12" s="134" t="s">
        <v>37</v>
      </c>
      <c r="I12" s="134">
        <v>30</v>
      </c>
      <c r="J12" s="130" t="s">
        <v>226</v>
      </c>
      <c r="K12" s="133">
        <v>46287</v>
      </c>
      <c r="L12" s="134" t="s">
        <v>74</v>
      </c>
      <c r="M12" s="134" t="s">
        <v>227</v>
      </c>
      <c r="N12" s="130" t="s">
        <v>228</v>
      </c>
    </row>
    <row r="13" spans="2:14" ht="30">
      <c r="B13" s="130" t="s">
        <v>229</v>
      </c>
      <c r="C13" s="131" t="s">
        <v>230</v>
      </c>
      <c r="D13" s="134" t="s">
        <v>89</v>
      </c>
      <c r="E13" s="132" t="s">
        <v>231</v>
      </c>
      <c r="F13" s="134" t="s">
        <v>232</v>
      </c>
      <c r="G13" s="136">
        <v>44420</v>
      </c>
      <c r="H13" s="130" t="s">
        <v>233</v>
      </c>
      <c r="I13" s="130">
        <v>60</v>
      </c>
      <c r="J13" s="130" t="s">
        <v>234</v>
      </c>
      <c r="K13" s="133">
        <v>46331</v>
      </c>
      <c r="L13" s="134" t="s">
        <v>74</v>
      </c>
      <c r="M13" s="134" t="s">
        <v>50</v>
      </c>
      <c r="N13" s="130" t="s">
        <v>235</v>
      </c>
    </row>
    <row r="14" spans="2:14" ht="30" hidden="1">
      <c r="B14" s="130" t="s">
        <v>236</v>
      </c>
      <c r="C14" s="130" t="s">
        <v>237</v>
      </c>
      <c r="D14" s="134" t="s">
        <v>42</v>
      </c>
      <c r="E14" s="130" t="s">
        <v>209</v>
      </c>
      <c r="F14" s="130" t="s">
        <v>238</v>
      </c>
      <c r="G14" s="136">
        <v>44466</v>
      </c>
      <c r="H14" s="130" t="s">
        <v>239</v>
      </c>
      <c r="I14" s="134">
        <v>12</v>
      </c>
      <c r="J14" s="130" t="s">
        <v>50</v>
      </c>
      <c r="K14" s="134" t="s">
        <v>38</v>
      </c>
      <c r="L14" s="134" t="s">
        <v>39</v>
      </c>
      <c r="M14" s="134" t="s">
        <v>38</v>
      </c>
      <c r="N14" s="130" t="s">
        <v>240</v>
      </c>
    </row>
    <row r="15" spans="2:14" ht="30" hidden="1">
      <c r="B15" s="130" t="s">
        <v>241</v>
      </c>
      <c r="C15" s="130" t="s">
        <v>242</v>
      </c>
      <c r="D15" s="130" t="s">
        <v>203</v>
      </c>
      <c r="E15" s="130" t="s">
        <v>243</v>
      </c>
      <c r="F15" s="134" t="s">
        <v>244</v>
      </c>
      <c r="G15" s="136">
        <v>44494</v>
      </c>
      <c r="H15" s="130" t="s">
        <v>245</v>
      </c>
      <c r="I15" s="130">
        <v>30</v>
      </c>
      <c r="J15" s="130" t="s">
        <v>50</v>
      </c>
      <c r="K15" s="134" t="s">
        <v>38</v>
      </c>
      <c r="L15" s="134" t="s">
        <v>39</v>
      </c>
      <c r="M15" s="134" t="s">
        <v>38</v>
      </c>
      <c r="N15" s="130" t="s">
        <v>246</v>
      </c>
    </row>
    <row r="16" spans="2:14" ht="30" hidden="1">
      <c r="B16" s="130" t="s">
        <v>247</v>
      </c>
      <c r="C16" s="130" t="s">
        <v>208</v>
      </c>
      <c r="D16" s="134" t="s">
        <v>89</v>
      </c>
      <c r="E16" s="130" t="s">
        <v>209</v>
      </c>
      <c r="F16" s="130" t="s">
        <v>248</v>
      </c>
      <c r="G16" s="136">
        <v>44504</v>
      </c>
      <c r="H16" s="130" t="s">
        <v>249</v>
      </c>
      <c r="I16" s="134">
        <v>12</v>
      </c>
      <c r="J16" s="130" t="s">
        <v>50</v>
      </c>
      <c r="K16" s="134" t="s">
        <v>38</v>
      </c>
      <c r="L16" s="134" t="s">
        <v>39</v>
      </c>
      <c r="M16" s="134" t="s">
        <v>38</v>
      </c>
      <c r="N16" s="130" t="s">
        <v>212</v>
      </c>
    </row>
    <row r="17" spans="2:14" ht="75">
      <c r="B17" s="130" t="s">
        <v>250</v>
      </c>
      <c r="C17" s="130" t="s">
        <v>251</v>
      </c>
      <c r="D17" s="134" t="s">
        <v>89</v>
      </c>
      <c r="E17" s="130" t="s">
        <v>252</v>
      </c>
      <c r="F17" s="130" t="s">
        <v>253</v>
      </c>
      <c r="G17" s="136">
        <v>44522</v>
      </c>
      <c r="H17" s="130" t="s">
        <v>254</v>
      </c>
      <c r="I17" s="130">
        <v>30</v>
      </c>
      <c r="J17" s="130" t="s">
        <v>255</v>
      </c>
      <c r="K17" s="133">
        <v>45814</v>
      </c>
      <c r="L17" s="134" t="s">
        <v>74</v>
      </c>
      <c r="M17" s="134" t="s">
        <v>227</v>
      </c>
      <c r="N17" s="130" t="s">
        <v>256</v>
      </c>
    </row>
    <row r="18" spans="2:14" ht="30">
      <c r="B18" s="130" t="s">
        <v>257</v>
      </c>
      <c r="C18" s="130" t="s">
        <v>258</v>
      </c>
      <c r="D18" s="134" t="s">
        <v>34</v>
      </c>
      <c r="E18" s="130" t="s">
        <v>35</v>
      </c>
      <c r="F18" s="130" t="s">
        <v>259</v>
      </c>
      <c r="G18" s="136">
        <v>44578</v>
      </c>
      <c r="H18" s="130" t="s">
        <v>260</v>
      </c>
      <c r="I18" s="130">
        <v>36</v>
      </c>
      <c r="J18" s="130" t="s">
        <v>50</v>
      </c>
      <c r="K18" s="133">
        <v>45744</v>
      </c>
      <c r="L18" s="134" t="s">
        <v>74</v>
      </c>
      <c r="M18" s="134" t="s">
        <v>50</v>
      </c>
      <c r="N18" s="130" t="s">
        <v>261</v>
      </c>
    </row>
    <row r="19" spans="2:14" ht="30">
      <c r="B19" s="130" t="s">
        <v>262</v>
      </c>
      <c r="C19" s="130" t="s">
        <v>263</v>
      </c>
      <c r="D19" s="130" t="s">
        <v>110</v>
      </c>
      <c r="E19" s="130" t="s">
        <v>264</v>
      </c>
      <c r="F19" s="130" t="s">
        <v>265</v>
      </c>
      <c r="G19" s="136">
        <v>44560</v>
      </c>
      <c r="H19" s="130" t="s">
        <v>266</v>
      </c>
      <c r="I19" s="130">
        <v>48</v>
      </c>
      <c r="J19" s="130" t="s">
        <v>50</v>
      </c>
      <c r="K19" s="133">
        <v>46101</v>
      </c>
      <c r="L19" s="134" t="s">
        <v>74</v>
      </c>
      <c r="M19" s="134" t="s">
        <v>50</v>
      </c>
      <c r="N19" s="130" t="s">
        <v>267</v>
      </c>
    </row>
    <row r="20" spans="2:14">
      <c r="B20" s="113"/>
      <c r="C20" s="114"/>
      <c r="D20" s="114"/>
      <c r="E20" s="113"/>
      <c r="F20" s="114"/>
      <c r="G20" s="114"/>
      <c r="H20" s="114"/>
      <c r="I20" s="114"/>
      <c r="J20" s="114"/>
      <c r="K20" s="114"/>
      <c r="L20" s="114"/>
      <c r="M20" s="114"/>
      <c r="N20" s="114"/>
    </row>
  </sheetData>
  <autoFilter ref="B3:N19" xr:uid="{DD67E9C1-FDEB-4FCE-8B3F-E2903231C26D}">
    <filterColumn colId="10">
      <filters>
        <filter val="Vigente"/>
      </filters>
    </filterColumn>
  </autoFilter>
  <mergeCells count="2">
    <mergeCell ref="B1:N1"/>
    <mergeCell ref="B2:N2"/>
  </mergeCells>
  <conditionalFormatting sqref="L4:L19">
    <cfRule type="cellIs" dxfId="17" priority="1" operator="equal">
      <formula>"Vigente"</formula>
    </cfRule>
    <cfRule type="cellIs" dxfId="16" priority="2" operator="equal">
      <formula>"Encerrado"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B5C9-4ED5-40BF-A058-B5C4F26BEC81}">
  <sheetPr filterMode="1"/>
  <dimension ref="B1:N14"/>
  <sheetViews>
    <sheetView topLeftCell="E1" zoomScale="80" zoomScaleNormal="80" workbookViewId="0">
      <selection activeCell="L8" sqref="L8"/>
    </sheetView>
  </sheetViews>
  <sheetFormatPr defaultRowHeight="15"/>
  <cols>
    <col min="1" max="1" width="3.5703125" customWidth="1"/>
    <col min="2" max="2" width="18.5703125" customWidth="1"/>
    <col min="3" max="4" width="27" customWidth="1"/>
    <col min="5" max="5" width="28.7109375" customWidth="1"/>
    <col min="6" max="6" width="45.140625" bestFit="1" customWidth="1"/>
    <col min="7" max="7" width="18.7109375" customWidth="1"/>
    <col min="8" max="8" width="28" bestFit="1" customWidth="1"/>
    <col min="9" max="9" width="19.85546875" customWidth="1"/>
    <col min="10" max="11" width="17.7109375" customWidth="1"/>
    <col min="12" max="14" width="22.7109375" customWidth="1"/>
  </cols>
  <sheetData>
    <row r="1" spans="2:14" ht="15.75" thickBot="1"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2:14" ht="27.75" thickBot="1">
      <c r="B2" s="275" t="s">
        <v>268</v>
      </c>
      <c r="C2" s="276"/>
      <c r="D2" s="276"/>
      <c r="E2" s="276"/>
      <c r="F2" s="276"/>
      <c r="G2" s="276"/>
      <c r="H2" s="276"/>
      <c r="I2" s="276"/>
      <c r="J2" s="276"/>
      <c r="K2" s="276"/>
      <c r="L2" s="276"/>
      <c r="M2" s="276"/>
      <c r="N2" s="277"/>
    </row>
    <row r="3" spans="2:14" ht="42.75">
      <c r="B3" s="129" t="s">
        <v>1</v>
      </c>
      <c r="C3" s="183" t="s">
        <v>2</v>
      </c>
      <c r="D3" s="183" t="s">
        <v>31</v>
      </c>
      <c r="E3" s="183" t="s">
        <v>3</v>
      </c>
      <c r="F3" s="183" t="s">
        <v>4</v>
      </c>
      <c r="G3" s="183" t="s">
        <v>5</v>
      </c>
      <c r="H3" s="129" t="s">
        <v>6</v>
      </c>
      <c r="I3" s="183" t="s">
        <v>7</v>
      </c>
      <c r="J3" s="183" t="s">
        <v>8</v>
      </c>
      <c r="K3" s="183" t="s">
        <v>9</v>
      </c>
      <c r="L3" s="129" t="s">
        <v>10</v>
      </c>
      <c r="M3" s="129" t="s">
        <v>11</v>
      </c>
      <c r="N3" s="129" t="s">
        <v>12</v>
      </c>
    </row>
    <row r="4" spans="2:14" ht="45">
      <c r="B4" s="130" t="s">
        <v>269</v>
      </c>
      <c r="C4" s="131" t="s">
        <v>270</v>
      </c>
      <c r="D4" s="130" t="s">
        <v>203</v>
      </c>
      <c r="E4" s="132" t="s">
        <v>271</v>
      </c>
      <c r="F4" s="130" t="s">
        <v>272</v>
      </c>
      <c r="G4" s="133">
        <v>44679</v>
      </c>
      <c r="H4" s="134" t="s">
        <v>37</v>
      </c>
      <c r="I4" s="130">
        <v>30</v>
      </c>
      <c r="J4" s="130" t="s">
        <v>50</v>
      </c>
      <c r="K4" s="133">
        <v>45592</v>
      </c>
      <c r="L4" s="134" t="s">
        <v>39</v>
      </c>
      <c r="M4" s="134" t="s">
        <v>227</v>
      </c>
      <c r="N4" s="130" t="s">
        <v>273</v>
      </c>
    </row>
    <row r="5" spans="2:14" ht="60">
      <c r="B5" s="130" t="s">
        <v>274</v>
      </c>
      <c r="C5" s="142" t="s">
        <v>275</v>
      </c>
      <c r="D5" s="134" t="s">
        <v>276</v>
      </c>
      <c r="E5" s="132" t="s">
        <v>277</v>
      </c>
      <c r="F5" s="130" t="s">
        <v>278</v>
      </c>
      <c r="G5" s="136">
        <v>44685</v>
      </c>
      <c r="H5" s="130" t="s">
        <v>279</v>
      </c>
      <c r="I5" s="134">
        <v>12</v>
      </c>
      <c r="J5" s="134" t="s">
        <v>50</v>
      </c>
      <c r="K5" s="136">
        <v>45061</v>
      </c>
      <c r="L5" s="134" t="s">
        <v>39</v>
      </c>
      <c r="M5" s="134" t="s">
        <v>38</v>
      </c>
      <c r="N5" s="130" t="s">
        <v>280</v>
      </c>
    </row>
    <row r="6" spans="2:14" ht="97.5" customHeight="1">
      <c r="B6" s="130" t="s">
        <v>281</v>
      </c>
      <c r="C6" s="142" t="s">
        <v>282</v>
      </c>
      <c r="D6" s="134" t="s">
        <v>117</v>
      </c>
      <c r="E6" s="135" t="s">
        <v>283</v>
      </c>
      <c r="F6" s="130" t="s">
        <v>284</v>
      </c>
      <c r="G6" s="136">
        <v>44707</v>
      </c>
      <c r="H6" s="134" t="s">
        <v>37</v>
      </c>
      <c r="I6" s="134">
        <v>12</v>
      </c>
      <c r="J6" s="130" t="s">
        <v>285</v>
      </c>
      <c r="K6" s="133">
        <v>45802</v>
      </c>
      <c r="L6" s="134" t="s">
        <v>39</v>
      </c>
      <c r="M6" s="134" t="s">
        <v>227</v>
      </c>
      <c r="N6" s="130" t="s">
        <v>286</v>
      </c>
    </row>
    <row r="7" spans="2:14" ht="38.25" customHeight="1">
      <c r="B7" s="130" t="s">
        <v>287</v>
      </c>
      <c r="C7" s="142" t="s">
        <v>288</v>
      </c>
      <c r="D7" s="134" t="s">
        <v>89</v>
      </c>
      <c r="E7" s="132" t="s">
        <v>289</v>
      </c>
      <c r="F7" s="130" t="s">
        <v>290</v>
      </c>
      <c r="G7" s="136">
        <v>44768</v>
      </c>
      <c r="H7" s="134" t="s">
        <v>37</v>
      </c>
      <c r="I7" s="130">
        <v>36</v>
      </c>
      <c r="J7" s="134" t="s">
        <v>50</v>
      </c>
      <c r="K7" s="136">
        <v>45863</v>
      </c>
      <c r="L7" s="134" t="s">
        <v>39</v>
      </c>
      <c r="M7" s="134" t="s">
        <v>50</v>
      </c>
      <c r="N7" s="130" t="s">
        <v>291</v>
      </c>
    </row>
    <row r="8" spans="2:14" ht="45.75" customHeight="1">
      <c r="B8" s="130" t="s">
        <v>292</v>
      </c>
      <c r="C8" s="142" t="s">
        <v>293</v>
      </c>
      <c r="D8" s="134" t="s">
        <v>34</v>
      </c>
      <c r="E8" s="132" t="s">
        <v>136</v>
      </c>
      <c r="F8" s="130" t="s">
        <v>294</v>
      </c>
      <c r="G8" s="136">
        <v>44788</v>
      </c>
      <c r="H8" s="130" t="s">
        <v>295</v>
      </c>
      <c r="I8" s="130">
        <v>20</v>
      </c>
      <c r="J8" s="130" t="s">
        <v>296</v>
      </c>
      <c r="K8" s="133">
        <v>46613</v>
      </c>
      <c r="L8" s="134" t="s">
        <v>74</v>
      </c>
      <c r="M8" s="134" t="s">
        <v>227</v>
      </c>
      <c r="N8" s="130" t="s">
        <v>297</v>
      </c>
    </row>
    <row r="9" spans="2:14" ht="85.5" customHeight="1">
      <c r="B9" s="130" t="s">
        <v>298</v>
      </c>
      <c r="C9" s="142" t="s">
        <v>299</v>
      </c>
      <c r="D9" s="134" t="s">
        <v>102</v>
      </c>
      <c r="E9" s="132" t="s">
        <v>300</v>
      </c>
      <c r="F9" s="130" t="s">
        <v>301</v>
      </c>
      <c r="G9" s="136">
        <v>44854</v>
      </c>
      <c r="H9" s="134" t="s">
        <v>37</v>
      </c>
      <c r="I9" s="134">
        <v>12</v>
      </c>
      <c r="J9" s="130" t="s">
        <v>302</v>
      </c>
      <c r="K9" s="133">
        <v>45218</v>
      </c>
      <c r="L9" s="134" t="s">
        <v>39</v>
      </c>
      <c r="M9" s="134" t="s">
        <v>50</v>
      </c>
      <c r="N9" s="130" t="s">
        <v>303</v>
      </c>
    </row>
    <row r="10" spans="2:14" ht="45">
      <c r="B10" s="130" t="s">
        <v>304</v>
      </c>
      <c r="C10" s="142" t="s">
        <v>305</v>
      </c>
      <c r="D10" s="134" t="s">
        <v>102</v>
      </c>
      <c r="E10" s="132" t="s">
        <v>306</v>
      </c>
      <c r="F10" s="130" t="s">
        <v>307</v>
      </c>
      <c r="G10" s="136">
        <v>44845</v>
      </c>
      <c r="H10" s="130" t="s">
        <v>308</v>
      </c>
      <c r="I10" s="130">
        <v>36</v>
      </c>
      <c r="J10" s="134" t="s">
        <v>50</v>
      </c>
      <c r="K10" s="136">
        <v>46018</v>
      </c>
      <c r="L10" s="134" t="s">
        <v>39</v>
      </c>
      <c r="M10" s="134" t="s">
        <v>50</v>
      </c>
      <c r="N10" s="130" t="s">
        <v>309</v>
      </c>
    </row>
    <row r="11" spans="2:14" ht="90">
      <c r="B11" s="130" t="s">
        <v>310</v>
      </c>
      <c r="C11" s="137" t="s">
        <v>311</v>
      </c>
      <c r="D11" s="134" t="s">
        <v>42</v>
      </c>
      <c r="E11" s="132" t="s">
        <v>312</v>
      </c>
      <c r="F11" s="130" t="s">
        <v>313</v>
      </c>
      <c r="G11" s="136">
        <v>44895</v>
      </c>
      <c r="H11" s="134" t="s">
        <v>37</v>
      </c>
      <c r="I11" s="134">
        <v>12</v>
      </c>
      <c r="J11" s="130" t="s">
        <v>314</v>
      </c>
      <c r="K11" s="133">
        <v>45990</v>
      </c>
      <c r="L11" s="134" t="s">
        <v>39</v>
      </c>
      <c r="M11" s="134" t="s">
        <v>227</v>
      </c>
      <c r="N11" s="130" t="s">
        <v>315</v>
      </c>
    </row>
    <row r="12" spans="2:14" ht="75">
      <c r="B12" s="130" t="s">
        <v>316</v>
      </c>
      <c r="C12" s="142" t="s">
        <v>317</v>
      </c>
      <c r="D12" s="134" t="s">
        <v>318</v>
      </c>
      <c r="E12" s="132" t="s">
        <v>319</v>
      </c>
      <c r="F12" s="130" t="s">
        <v>320</v>
      </c>
      <c r="G12" s="136">
        <v>44890</v>
      </c>
      <c r="H12" s="134" t="s">
        <v>37</v>
      </c>
      <c r="I12" s="134">
        <v>36</v>
      </c>
      <c r="J12" s="134" t="s">
        <v>50</v>
      </c>
      <c r="K12" s="136">
        <v>45985</v>
      </c>
      <c r="L12" s="134" t="s">
        <v>39</v>
      </c>
      <c r="M12" s="134" t="s">
        <v>50</v>
      </c>
      <c r="N12" s="130" t="s">
        <v>321</v>
      </c>
    </row>
    <row r="13" spans="2:14" ht="60">
      <c r="B13" s="130" t="s">
        <v>322</v>
      </c>
      <c r="C13" s="142" t="s">
        <v>323</v>
      </c>
      <c r="D13" s="134" t="s">
        <v>34</v>
      </c>
      <c r="E13" s="132" t="s">
        <v>324</v>
      </c>
      <c r="F13" s="130" t="s">
        <v>325</v>
      </c>
      <c r="G13" s="136">
        <v>44900</v>
      </c>
      <c r="H13" s="130" t="s">
        <v>326</v>
      </c>
      <c r="I13" s="130">
        <v>30</v>
      </c>
      <c r="J13" s="134" t="s">
        <v>327</v>
      </c>
      <c r="K13" s="136">
        <v>46775</v>
      </c>
      <c r="L13" s="134" t="s">
        <v>74</v>
      </c>
      <c r="M13" s="134" t="s">
        <v>227</v>
      </c>
      <c r="N13" s="130" t="s">
        <v>328</v>
      </c>
    </row>
    <row r="14" spans="2:14">
      <c r="B14" s="113"/>
      <c r="C14" s="114"/>
      <c r="D14" s="114"/>
      <c r="E14" s="113"/>
      <c r="F14" s="114"/>
      <c r="G14" s="114"/>
      <c r="H14" s="114"/>
      <c r="I14" s="114"/>
      <c r="J14" s="114"/>
      <c r="K14" s="114"/>
      <c r="L14" s="114"/>
      <c r="M14" s="114"/>
      <c r="N14" s="114"/>
    </row>
  </sheetData>
  <autoFilter ref="B3:N13" xr:uid="{C1EAB5C9-4ED5-40BF-A058-B5C4F26BEC81}">
    <filterColumn colId="10">
      <filters>
        <filter val="Vigente"/>
      </filters>
    </filterColumn>
  </autoFilter>
  <mergeCells count="1">
    <mergeCell ref="B2:N2"/>
  </mergeCells>
  <conditionalFormatting sqref="L4:L13">
    <cfRule type="cellIs" dxfId="15" priority="1" operator="equal">
      <formula>"Vigente"</formula>
    </cfRule>
    <cfRule type="cellIs" dxfId="14" priority="2" operator="equal">
      <formula>"Encerrado"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25BA-FA08-49D4-9EC5-CFF0DF6C5525}">
  <dimension ref="B1:N13"/>
  <sheetViews>
    <sheetView topLeftCell="A3" zoomScale="80" zoomScaleNormal="80" workbookViewId="0">
      <selection activeCell="B4" sqref="B4:B13"/>
    </sheetView>
  </sheetViews>
  <sheetFormatPr defaultRowHeight="15"/>
  <cols>
    <col min="1" max="1" width="3.5703125" customWidth="1"/>
    <col min="2" max="2" width="18.5703125" customWidth="1"/>
    <col min="3" max="4" width="27" customWidth="1"/>
    <col min="5" max="5" width="28.7109375" customWidth="1"/>
    <col min="6" max="6" width="45.140625" bestFit="1" customWidth="1"/>
    <col min="7" max="7" width="18.7109375" customWidth="1"/>
    <col min="8" max="8" width="28" bestFit="1" customWidth="1"/>
    <col min="9" max="9" width="19.85546875" customWidth="1"/>
    <col min="10" max="11" width="17.7109375" customWidth="1"/>
    <col min="12" max="14" width="22.7109375" customWidth="1"/>
  </cols>
  <sheetData>
    <row r="1" spans="2:14" ht="15.75" thickBot="1">
      <c r="B1" s="120"/>
      <c r="C1" s="120"/>
      <c r="D1" s="120"/>
      <c r="E1" s="120"/>
      <c r="F1" s="120"/>
      <c r="G1" s="111"/>
      <c r="H1" s="112"/>
      <c r="I1" s="112"/>
      <c r="J1" s="63"/>
      <c r="K1" s="63"/>
      <c r="L1" s="63"/>
      <c r="M1" s="63"/>
      <c r="N1" s="120"/>
    </row>
    <row r="2" spans="2:14" ht="52.5" customHeight="1" thickBot="1">
      <c r="B2" s="271" t="s">
        <v>329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3"/>
    </row>
    <row r="3" spans="2:14" ht="30">
      <c r="B3" s="122" t="s">
        <v>330</v>
      </c>
      <c r="C3" s="122" t="s">
        <v>2</v>
      </c>
      <c r="D3" s="122" t="s">
        <v>31</v>
      </c>
      <c r="E3" s="122" t="s">
        <v>3</v>
      </c>
      <c r="F3" s="122" t="s">
        <v>4</v>
      </c>
      <c r="G3" s="122" t="s">
        <v>5</v>
      </c>
      <c r="H3" s="121" t="s">
        <v>6</v>
      </c>
      <c r="I3" s="122" t="s">
        <v>7</v>
      </c>
      <c r="J3" s="122" t="s">
        <v>8</v>
      </c>
      <c r="K3" s="122" t="s">
        <v>9</v>
      </c>
      <c r="L3" s="121" t="s">
        <v>10</v>
      </c>
      <c r="M3" s="121" t="s">
        <v>11</v>
      </c>
      <c r="N3" s="121" t="s">
        <v>12</v>
      </c>
    </row>
    <row r="4" spans="2:14" ht="60">
      <c r="B4" s="130" t="s">
        <v>331</v>
      </c>
      <c r="C4" s="134" t="s">
        <v>332</v>
      </c>
      <c r="D4" s="134" t="s">
        <v>34</v>
      </c>
      <c r="E4" s="130" t="s">
        <v>333</v>
      </c>
      <c r="F4" s="130" t="s">
        <v>334</v>
      </c>
      <c r="G4" s="136">
        <v>44950</v>
      </c>
      <c r="H4" s="130" t="s">
        <v>335</v>
      </c>
      <c r="I4" s="130">
        <v>36</v>
      </c>
      <c r="J4" s="134" t="s">
        <v>50</v>
      </c>
      <c r="K4" s="136">
        <v>46104</v>
      </c>
      <c r="L4" s="134" t="s">
        <v>39</v>
      </c>
      <c r="M4" s="134" t="s">
        <v>50</v>
      </c>
      <c r="N4" s="130" t="s">
        <v>336</v>
      </c>
    </row>
    <row r="5" spans="2:14" ht="75">
      <c r="B5" s="130" t="s">
        <v>337</v>
      </c>
      <c r="C5" s="134" t="s">
        <v>338</v>
      </c>
      <c r="D5" s="134" t="s">
        <v>110</v>
      </c>
      <c r="E5" s="130" t="s">
        <v>339</v>
      </c>
      <c r="F5" s="130" t="s">
        <v>340</v>
      </c>
      <c r="G5" s="136">
        <v>44943</v>
      </c>
      <c r="H5" s="130" t="s">
        <v>341</v>
      </c>
      <c r="I5" s="130">
        <v>36</v>
      </c>
      <c r="J5" s="134" t="s">
        <v>50</v>
      </c>
      <c r="K5" s="136">
        <v>46086</v>
      </c>
      <c r="L5" s="134" t="s">
        <v>39</v>
      </c>
      <c r="M5" s="134" t="s">
        <v>50</v>
      </c>
      <c r="N5" s="130" t="s">
        <v>342</v>
      </c>
    </row>
    <row r="6" spans="2:14" ht="45">
      <c r="B6" s="130" t="s">
        <v>343</v>
      </c>
      <c r="C6" s="137" t="s">
        <v>344</v>
      </c>
      <c r="D6" s="134" t="s">
        <v>89</v>
      </c>
      <c r="E6" s="132" t="s">
        <v>345</v>
      </c>
      <c r="F6" s="130" t="s">
        <v>346</v>
      </c>
      <c r="G6" s="136">
        <v>45072</v>
      </c>
      <c r="H6" s="134" t="s">
        <v>37</v>
      </c>
      <c r="I6" s="134">
        <v>36</v>
      </c>
      <c r="J6" s="130" t="s">
        <v>347</v>
      </c>
      <c r="K6" s="136">
        <v>46167</v>
      </c>
      <c r="L6" s="134" t="s">
        <v>74</v>
      </c>
      <c r="M6" s="134" t="s">
        <v>227</v>
      </c>
      <c r="N6" s="130" t="s">
        <v>348</v>
      </c>
    </row>
    <row r="7" spans="2:14" ht="45">
      <c r="B7" s="130" t="s">
        <v>349</v>
      </c>
      <c r="C7" s="142" t="s">
        <v>350</v>
      </c>
      <c r="D7" s="134" t="s">
        <v>276</v>
      </c>
      <c r="E7" s="135" t="s">
        <v>306</v>
      </c>
      <c r="F7" s="130" t="s">
        <v>351</v>
      </c>
      <c r="G7" s="136">
        <v>45091</v>
      </c>
      <c r="H7" s="134" t="s">
        <v>37</v>
      </c>
      <c r="I7" s="134">
        <v>12</v>
      </c>
      <c r="J7" s="134" t="s">
        <v>352</v>
      </c>
      <c r="K7" s="136">
        <v>46186</v>
      </c>
      <c r="L7" s="134" t="s">
        <v>74</v>
      </c>
      <c r="M7" s="134" t="s">
        <v>227</v>
      </c>
      <c r="N7" s="130" t="s">
        <v>353</v>
      </c>
    </row>
    <row r="8" spans="2:14" ht="75">
      <c r="B8" s="130" t="s">
        <v>354</v>
      </c>
      <c r="C8" s="142" t="s">
        <v>299</v>
      </c>
      <c r="D8" s="134" t="s">
        <v>102</v>
      </c>
      <c r="E8" s="130" t="s">
        <v>300</v>
      </c>
      <c r="F8" s="130" t="s">
        <v>355</v>
      </c>
      <c r="G8" s="136">
        <v>45117</v>
      </c>
      <c r="H8" s="134" t="s">
        <v>37</v>
      </c>
      <c r="I8" s="130" t="s">
        <v>356</v>
      </c>
      <c r="J8" s="130" t="s">
        <v>357</v>
      </c>
      <c r="K8" s="133" t="s">
        <v>358</v>
      </c>
      <c r="L8" s="134" t="s">
        <v>74</v>
      </c>
      <c r="M8" s="134" t="s">
        <v>50</v>
      </c>
      <c r="N8" s="130" t="s">
        <v>359</v>
      </c>
    </row>
    <row r="9" spans="2:14" ht="45">
      <c r="B9" s="130" t="s">
        <v>360</v>
      </c>
      <c r="C9" s="142" t="s">
        <v>361</v>
      </c>
      <c r="D9" s="134" t="s">
        <v>34</v>
      </c>
      <c r="E9" s="130" t="s">
        <v>362</v>
      </c>
      <c r="F9" s="130" t="s">
        <v>363</v>
      </c>
      <c r="G9" s="136">
        <v>45169</v>
      </c>
      <c r="H9" s="134" t="s">
        <v>37</v>
      </c>
      <c r="I9" s="134">
        <v>24</v>
      </c>
      <c r="J9" s="134" t="s">
        <v>50</v>
      </c>
      <c r="K9" s="136">
        <v>45899</v>
      </c>
      <c r="L9" s="134" t="s">
        <v>39</v>
      </c>
      <c r="M9" s="134" t="s">
        <v>227</v>
      </c>
      <c r="N9" s="130" t="s">
        <v>364</v>
      </c>
    </row>
    <row r="10" spans="2:14" ht="30">
      <c r="B10" s="130" t="s">
        <v>365</v>
      </c>
      <c r="C10" s="142" t="s">
        <v>366</v>
      </c>
      <c r="D10" s="134" t="s">
        <v>89</v>
      </c>
      <c r="E10" s="130" t="s">
        <v>147</v>
      </c>
      <c r="F10" s="130" t="s">
        <v>367</v>
      </c>
      <c r="G10" s="136">
        <v>45198</v>
      </c>
      <c r="H10" s="134" t="s">
        <v>37</v>
      </c>
      <c r="I10" s="134">
        <v>36</v>
      </c>
      <c r="J10" s="134" t="s">
        <v>50</v>
      </c>
      <c r="K10" s="136">
        <v>46293</v>
      </c>
      <c r="L10" s="134" t="s">
        <v>74</v>
      </c>
      <c r="M10" s="134" t="s">
        <v>227</v>
      </c>
      <c r="N10" s="130" t="s">
        <v>368</v>
      </c>
    </row>
    <row r="11" spans="2:14" ht="45">
      <c r="B11" s="130" t="s">
        <v>369</v>
      </c>
      <c r="C11" s="137" t="s">
        <v>370</v>
      </c>
      <c r="D11" s="134" t="s">
        <v>163</v>
      </c>
      <c r="E11" s="130" t="s">
        <v>147</v>
      </c>
      <c r="F11" s="130" t="s">
        <v>371</v>
      </c>
      <c r="G11" s="136">
        <v>45239</v>
      </c>
      <c r="H11" s="134" t="s">
        <v>37</v>
      </c>
      <c r="I11" s="134">
        <v>36</v>
      </c>
      <c r="J11" s="134" t="s">
        <v>50</v>
      </c>
      <c r="K11" s="136">
        <v>46334</v>
      </c>
      <c r="L11" s="134" t="s">
        <v>74</v>
      </c>
      <c r="M11" s="134" t="s">
        <v>227</v>
      </c>
      <c r="N11" s="130" t="s">
        <v>372</v>
      </c>
    </row>
    <row r="12" spans="2:14" ht="60">
      <c r="B12" s="130" t="s">
        <v>373</v>
      </c>
      <c r="C12" s="134" t="s">
        <v>374</v>
      </c>
      <c r="D12" s="134" t="s">
        <v>375</v>
      </c>
      <c r="E12" s="134" t="s">
        <v>376</v>
      </c>
      <c r="F12" s="134" t="s">
        <v>377</v>
      </c>
      <c r="G12" s="136">
        <v>45289</v>
      </c>
      <c r="H12" s="134" t="s">
        <v>37</v>
      </c>
      <c r="I12" s="134">
        <v>12</v>
      </c>
      <c r="J12" s="134" t="s">
        <v>50</v>
      </c>
      <c r="K12" s="136">
        <v>45654</v>
      </c>
      <c r="L12" s="134" t="s">
        <v>39</v>
      </c>
      <c r="M12" s="130" t="s">
        <v>378</v>
      </c>
      <c r="N12" s="130" t="s">
        <v>379</v>
      </c>
    </row>
    <row r="13" spans="2:14" ht="45">
      <c r="B13" s="130" t="s">
        <v>380</v>
      </c>
      <c r="C13" s="134" t="s">
        <v>381</v>
      </c>
      <c r="D13" s="134" t="s">
        <v>163</v>
      </c>
      <c r="E13" s="134" t="s">
        <v>382</v>
      </c>
      <c r="F13" s="134" t="s">
        <v>383</v>
      </c>
      <c r="G13" s="136">
        <v>45281</v>
      </c>
      <c r="H13" s="130" t="s">
        <v>384</v>
      </c>
      <c r="I13" s="130">
        <v>60</v>
      </c>
      <c r="J13" s="134" t="s">
        <v>50</v>
      </c>
      <c r="K13" s="136">
        <v>47215</v>
      </c>
      <c r="L13" s="134" t="s">
        <v>74</v>
      </c>
      <c r="M13" s="134" t="s">
        <v>50</v>
      </c>
      <c r="N13" s="130" t="s">
        <v>385</v>
      </c>
    </row>
  </sheetData>
  <autoFilter ref="B3:N13" xr:uid="{A43E25BA-FA08-49D4-9EC5-CFF0DF6C5525}"/>
  <mergeCells count="1">
    <mergeCell ref="B2:N2"/>
  </mergeCells>
  <conditionalFormatting sqref="L4:L13">
    <cfRule type="cellIs" dxfId="13" priority="1" operator="equal">
      <formula>"Encerrado"</formula>
    </cfRule>
    <cfRule type="cellIs" dxfId="12" priority="2" operator="equal">
      <formula>"Vigente"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4242-B100-4C23-AB23-F463946EFEA1}">
  <dimension ref="A1:O27"/>
  <sheetViews>
    <sheetView topLeftCell="A5" zoomScale="80" zoomScaleNormal="80" workbookViewId="0">
      <selection activeCell="L5" sqref="L5"/>
    </sheetView>
  </sheetViews>
  <sheetFormatPr defaultRowHeight="15"/>
  <cols>
    <col min="1" max="1" width="3.5703125" customWidth="1"/>
    <col min="2" max="2" width="18.5703125" customWidth="1"/>
    <col min="3" max="4" width="27" customWidth="1"/>
    <col min="5" max="5" width="28.7109375" customWidth="1"/>
    <col min="6" max="6" width="45.140625" bestFit="1" customWidth="1"/>
    <col min="7" max="7" width="18.7109375" customWidth="1"/>
    <col min="8" max="8" width="28" bestFit="1" customWidth="1"/>
    <col min="9" max="9" width="19.85546875" customWidth="1"/>
    <col min="10" max="11" width="17.7109375" customWidth="1"/>
    <col min="12" max="14" width="22.7109375" customWidth="1"/>
    <col min="15" max="15" width="11.42578125" bestFit="1" customWidth="1"/>
  </cols>
  <sheetData>
    <row r="1" spans="1:15" ht="15.75" thickBot="1">
      <c r="B1" s="115"/>
    </row>
    <row r="2" spans="1:15" ht="52.5" customHeight="1" thickBot="1">
      <c r="B2" s="271" t="s">
        <v>386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3"/>
    </row>
    <row r="3" spans="1:15" ht="30">
      <c r="B3" s="122" t="s">
        <v>330</v>
      </c>
      <c r="C3" s="122" t="s">
        <v>2</v>
      </c>
      <c r="D3" s="122" t="s">
        <v>31</v>
      </c>
      <c r="E3" s="122" t="s">
        <v>3</v>
      </c>
      <c r="F3" s="122" t="s">
        <v>4</v>
      </c>
      <c r="G3" s="122" t="s">
        <v>5</v>
      </c>
      <c r="H3" s="121" t="s">
        <v>6</v>
      </c>
      <c r="I3" s="122" t="s">
        <v>7</v>
      </c>
      <c r="J3" s="122" t="s">
        <v>8</v>
      </c>
      <c r="K3" s="122" t="s">
        <v>387</v>
      </c>
      <c r="L3" s="121" t="s">
        <v>10</v>
      </c>
      <c r="M3" s="121" t="s">
        <v>11</v>
      </c>
      <c r="N3" s="121" t="s">
        <v>12</v>
      </c>
    </row>
    <row r="4" spans="1:15" ht="50.1" customHeight="1">
      <c r="B4" s="140" t="s">
        <v>388</v>
      </c>
      <c r="C4" s="138" t="s">
        <v>389</v>
      </c>
      <c r="D4" s="138" t="s">
        <v>34</v>
      </c>
      <c r="E4" s="140" t="s">
        <v>35</v>
      </c>
      <c r="F4" s="140" t="s">
        <v>390</v>
      </c>
      <c r="G4" s="141">
        <v>45362</v>
      </c>
      <c r="H4" s="140" t="s">
        <v>391</v>
      </c>
      <c r="I4" s="140">
        <v>60</v>
      </c>
      <c r="J4" s="138" t="s">
        <v>50</v>
      </c>
      <c r="K4" s="141">
        <v>47248</v>
      </c>
      <c r="L4" s="138" t="s">
        <v>74</v>
      </c>
      <c r="M4" s="138" t="s">
        <v>227</v>
      </c>
      <c r="N4" s="140" t="s">
        <v>392</v>
      </c>
    </row>
    <row r="5" spans="1:15" ht="90">
      <c r="B5" s="148" t="s">
        <v>393</v>
      </c>
      <c r="C5" s="149" t="s">
        <v>394</v>
      </c>
      <c r="D5" s="149" t="s">
        <v>34</v>
      </c>
      <c r="E5" s="143" t="s">
        <v>395</v>
      </c>
      <c r="F5" s="148" t="s">
        <v>396</v>
      </c>
      <c r="G5" s="141">
        <v>45365</v>
      </c>
      <c r="H5" s="140" t="s">
        <v>397</v>
      </c>
      <c r="I5" s="140">
        <v>60</v>
      </c>
      <c r="J5" s="138" t="s">
        <v>50</v>
      </c>
      <c r="K5" s="141">
        <v>47274</v>
      </c>
      <c r="L5" s="138" t="s">
        <v>74</v>
      </c>
      <c r="M5" s="138" t="s">
        <v>227</v>
      </c>
      <c r="N5" s="140" t="s">
        <v>398</v>
      </c>
    </row>
    <row r="6" spans="1:15" ht="50.1" customHeight="1">
      <c r="B6" s="140" t="s">
        <v>399</v>
      </c>
      <c r="C6" s="140" t="s">
        <v>400</v>
      </c>
      <c r="D6" s="140" t="s">
        <v>110</v>
      </c>
      <c r="E6" s="150" t="s">
        <v>401</v>
      </c>
      <c r="F6" s="140" t="s">
        <v>402</v>
      </c>
      <c r="G6" s="144">
        <v>45377</v>
      </c>
      <c r="H6" s="140" t="s">
        <v>254</v>
      </c>
      <c r="I6" s="140">
        <v>36</v>
      </c>
      <c r="J6" s="138" t="s">
        <v>50</v>
      </c>
      <c r="K6" s="136">
        <v>46471</v>
      </c>
      <c r="L6" s="138" t="s">
        <v>74</v>
      </c>
      <c r="M6" s="138" t="s">
        <v>227</v>
      </c>
      <c r="N6" s="140" t="s">
        <v>403</v>
      </c>
      <c r="O6" s="241"/>
    </row>
    <row r="7" spans="1:15" ht="50.1" customHeight="1">
      <c r="B7" s="140" t="s">
        <v>404</v>
      </c>
      <c r="C7" s="138" t="s">
        <v>405</v>
      </c>
      <c r="D7" s="140" t="s">
        <v>34</v>
      </c>
      <c r="E7" s="143" t="s">
        <v>406</v>
      </c>
      <c r="F7" s="140" t="s">
        <v>407</v>
      </c>
      <c r="G7" s="145">
        <v>45491</v>
      </c>
      <c r="H7" s="140"/>
      <c r="I7" s="140">
        <v>36</v>
      </c>
      <c r="J7" s="138"/>
      <c r="K7" s="147">
        <v>46613</v>
      </c>
      <c r="L7" s="138" t="s">
        <v>74</v>
      </c>
      <c r="M7" s="62"/>
      <c r="N7" s="1" t="s">
        <v>408</v>
      </c>
      <c r="O7" s="241"/>
    </row>
    <row r="8" spans="1:15" ht="50.1" customHeight="1">
      <c r="B8" s="140" t="s">
        <v>409</v>
      </c>
      <c r="C8" s="138" t="s">
        <v>410</v>
      </c>
      <c r="D8" s="140" t="s">
        <v>276</v>
      </c>
      <c r="E8" s="150" t="s">
        <v>411</v>
      </c>
      <c r="F8" s="212" t="s">
        <v>412</v>
      </c>
      <c r="G8" s="145">
        <v>45505</v>
      </c>
      <c r="H8" s="140" t="s">
        <v>254</v>
      </c>
      <c r="I8" s="146"/>
      <c r="J8" s="138" t="s">
        <v>50</v>
      </c>
      <c r="K8" s="147">
        <v>46201</v>
      </c>
      <c r="L8" s="138" t="s">
        <v>74</v>
      </c>
      <c r="M8" s="62" t="s">
        <v>227</v>
      </c>
      <c r="N8" s="1" t="s">
        <v>413</v>
      </c>
      <c r="O8" s="241"/>
    </row>
    <row r="9" spans="1:15" ht="50.1" customHeight="1">
      <c r="B9" s="140" t="s">
        <v>414</v>
      </c>
      <c r="C9" s="138" t="s">
        <v>410</v>
      </c>
      <c r="D9" s="140" t="s">
        <v>276</v>
      </c>
      <c r="E9" s="150" t="s">
        <v>411</v>
      </c>
      <c r="F9" s="140" t="s">
        <v>415</v>
      </c>
      <c r="G9" s="145">
        <v>45505</v>
      </c>
      <c r="H9" s="140" t="s">
        <v>254</v>
      </c>
      <c r="I9" s="138">
        <v>24</v>
      </c>
      <c r="J9" s="138" t="s">
        <v>50</v>
      </c>
      <c r="K9" s="147">
        <v>46263</v>
      </c>
      <c r="L9" s="138" t="s">
        <v>74</v>
      </c>
      <c r="M9" s="62" t="s">
        <v>227</v>
      </c>
      <c r="N9" s="1" t="s">
        <v>413</v>
      </c>
      <c r="O9" s="241"/>
    </row>
    <row r="10" spans="1:15" ht="50.1" customHeight="1">
      <c r="B10" s="140" t="s">
        <v>416</v>
      </c>
      <c r="C10" s="138" t="s">
        <v>417</v>
      </c>
      <c r="D10" s="140" t="s">
        <v>47</v>
      </c>
      <c r="E10" s="150" t="s">
        <v>418</v>
      </c>
      <c r="F10" s="140" t="s">
        <v>419</v>
      </c>
      <c r="G10" s="147">
        <v>45587</v>
      </c>
      <c r="H10" s="140" t="s">
        <v>37</v>
      </c>
      <c r="I10" s="140">
        <v>60</v>
      </c>
      <c r="J10" s="138" t="s">
        <v>50</v>
      </c>
      <c r="K10" s="147">
        <v>47412</v>
      </c>
      <c r="L10" s="138" t="s">
        <v>74</v>
      </c>
      <c r="M10" s="62" t="s">
        <v>227</v>
      </c>
      <c r="N10" s="1" t="s">
        <v>420</v>
      </c>
    </row>
    <row r="11" spans="1:15" ht="50.1" customHeight="1">
      <c r="B11" s="140" t="s">
        <v>421</v>
      </c>
      <c r="C11" s="138" t="s">
        <v>422</v>
      </c>
      <c r="D11" s="140" t="s">
        <v>34</v>
      </c>
      <c r="E11" s="150" t="s">
        <v>423</v>
      </c>
      <c r="F11" s="140" t="s">
        <v>424</v>
      </c>
      <c r="G11" s="147">
        <v>45597</v>
      </c>
      <c r="H11" s="140" t="s">
        <v>37</v>
      </c>
      <c r="I11" s="140">
        <v>30</v>
      </c>
      <c r="J11" s="138" t="s">
        <v>50</v>
      </c>
      <c r="K11" s="147">
        <v>46507</v>
      </c>
      <c r="L11" s="138" t="s">
        <v>74</v>
      </c>
      <c r="M11" s="62" t="s">
        <v>227</v>
      </c>
      <c r="N11" s="1" t="s">
        <v>425</v>
      </c>
      <c r="O11" s="241"/>
    </row>
    <row r="12" spans="1:15" ht="50.1" customHeight="1">
      <c r="B12" s="140" t="s">
        <v>426</v>
      </c>
      <c r="C12" s="138" t="s">
        <v>427</v>
      </c>
      <c r="D12" s="140" t="s">
        <v>428</v>
      </c>
      <c r="E12" s="150" t="s">
        <v>423</v>
      </c>
      <c r="F12" s="140" t="s">
        <v>429</v>
      </c>
      <c r="G12" s="147">
        <v>45604</v>
      </c>
      <c r="H12" s="140" t="s">
        <v>37</v>
      </c>
      <c r="I12" s="140">
        <v>12</v>
      </c>
      <c r="J12" s="138" t="s">
        <v>430</v>
      </c>
      <c r="K12" s="147">
        <v>46333</v>
      </c>
      <c r="L12" s="138" t="s">
        <v>74</v>
      </c>
      <c r="M12" s="62" t="s">
        <v>227</v>
      </c>
      <c r="N12" s="1" t="s">
        <v>431</v>
      </c>
      <c r="O12" s="241"/>
    </row>
    <row r="13" spans="1:15" ht="50.1" customHeight="1">
      <c r="A13" s="152"/>
      <c r="B13" s="130" t="s">
        <v>432</v>
      </c>
      <c r="C13" s="130" t="s">
        <v>433</v>
      </c>
      <c r="D13" s="130" t="s">
        <v>163</v>
      </c>
      <c r="E13" s="153" t="s">
        <v>434</v>
      </c>
      <c r="F13" s="130" t="s">
        <v>435</v>
      </c>
      <c r="G13" s="147">
        <v>45609</v>
      </c>
      <c r="H13" s="140" t="s">
        <v>254</v>
      </c>
      <c r="I13" s="140">
        <v>12</v>
      </c>
      <c r="J13" s="138" t="s">
        <v>50</v>
      </c>
      <c r="K13" s="147">
        <v>45973</v>
      </c>
      <c r="L13" s="138" t="s">
        <v>39</v>
      </c>
      <c r="M13" s="62" t="s">
        <v>227</v>
      </c>
      <c r="N13" s="1" t="s">
        <v>436</v>
      </c>
    </row>
    <row r="14" spans="1:15" ht="50.1" customHeight="1">
      <c r="A14" s="152"/>
      <c r="B14" s="130" t="s">
        <v>437</v>
      </c>
      <c r="C14" s="130" t="s">
        <v>438</v>
      </c>
      <c r="D14" s="130" t="s">
        <v>152</v>
      </c>
      <c r="E14" s="153" t="s">
        <v>439</v>
      </c>
      <c r="F14" s="212" t="s">
        <v>440</v>
      </c>
      <c r="G14" s="147">
        <v>45622</v>
      </c>
      <c r="H14" s="140" t="s">
        <v>37</v>
      </c>
      <c r="I14" s="140">
        <v>12</v>
      </c>
      <c r="J14" s="138" t="s">
        <v>50</v>
      </c>
      <c r="K14" s="147">
        <v>45986</v>
      </c>
      <c r="L14" s="138" t="s">
        <v>39</v>
      </c>
      <c r="M14" s="130" t="s">
        <v>50</v>
      </c>
      <c r="N14" s="1" t="s">
        <v>441</v>
      </c>
    </row>
    <row r="15" spans="1:15" ht="50.1" customHeight="1">
      <c r="A15" s="152"/>
      <c r="B15" s="130" t="s">
        <v>442</v>
      </c>
      <c r="C15" s="130" t="s">
        <v>443</v>
      </c>
      <c r="D15" s="130" t="s">
        <v>152</v>
      </c>
      <c r="E15" s="153" t="s">
        <v>444</v>
      </c>
      <c r="F15" s="140" t="s">
        <v>445</v>
      </c>
      <c r="G15" s="147">
        <v>45629</v>
      </c>
      <c r="H15" s="144">
        <v>45630</v>
      </c>
      <c r="I15" s="140">
        <v>60</v>
      </c>
      <c r="J15" s="138" t="s">
        <v>50</v>
      </c>
      <c r="K15" s="147">
        <v>47455</v>
      </c>
      <c r="L15" s="138" t="s">
        <v>74</v>
      </c>
      <c r="M15" s="130" t="s">
        <v>50</v>
      </c>
      <c r="N15" s="1" t="s">
        <v>446</v>
      </c>
    </row>
    <row r="16" spans="1:15" ht="50.1" customHeight="1">
      <c r="B16" s="130" t="s">
        <v>447</v>
      </c>
      <c r="C16" s="130" t="s">
        <v>448</v>
      </c>
      <c r="D16" s="130" t="s">
        <v>89</v>
      </c>
      <c r="E16" s="153" t="s">
        <v>449</v>
      </c>
      <c r="F16" s="130" t="s">
        <v>450</v>
      </c>
      <c r="G16" s="147">
        <v>45637</v>
      </c>
      <c r="H16" s="140" t="s">
        <v>254</v>
      </c>
      <c r="I16" s="140">
        <v>60</v>
      </c>
      <c r="J16" s="138" t="s">
        <v>50</v>
      </c>
      <c r="K16" s="147">
        <v>47462</v>
      </c>
      <c r="L16" s="138" t="s">
        <v>74</v>
      </c>
      <c r="M16" s="130" t="s">
        <v>50</v>
      </c>
      <c r="N16" s="1" t="s">
        <v>451</v>
      </c>
    </row>
    <row r="17" spans="2:14" ht="75">
      <c r="B17" s="130" t="s">
        <v>452</v>
      </c>
      <c r="C17" s="130" t="s">
        <v>453</v>
      </c>
      <c r="D17" s="130" t="s">
        <v>117</v>
      </c>
      <c r="E17" s="153" t="s">
        <v>283</v>
      </c>
      <c r="F17" s="130" t="s">
        <v>454</v>
      </c>
      <c r="G17" s="147">
        <v>45656</v>
      </c>
      <c r="H17" s="140" t="s">
        <v>37</v>
      </c>
      <c r="I17" s="140">
        <v>12</v>
      </c>
      <c r="J17" s="138" t="s">
        <v>50</v>
      </c>
      <c r="K17" s="147">
        <v>45655</v>
      </c>
      <c r="L17" s="138" t="s">
        <v>39</v>
      </c>
      <c r="M17" s="130" t="s">
        <v>455</v>
      </c>
      <c r="N17" s="1" t="s">
        <v>456</v>
      </c>
    </row>
    <row r="27" spans="2:14" ht="30">
      <c r="H27" s="138" t="s">
        <v>350</v>
      </c>
      <c r="I27" s="130" t="s">
        <v>457</v>
      </c>
    </row>
  </sheetData>
  <autoFilter ref="B3:N3" xr:uid="{7F244242-B100-4C23-AB23-F463946EFEA1}"/>
  <mergeCells count="1">
    <mergeCell ref="B2:N2"/>
  </mergeCells>
  <conditionalFormatting sqref="L4:L17">
    <cfRule type="cellIs" dxfId="11" priority="1" operator="equal">
      <formula>"Encerrado"</formula>
    </cfRule>
    <cfRule type="cellIs" dxfId="10" priority="2" operator="equal">
      <formula>"Vigente"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0336E-53DD-470A-B2C9-B0A8D1A18CAD}">
  <dimension ref="A1:O22"/>
  <sheetViews>
    <sheetView zoomScale="80" zoomScaleNormal="80" workbookViewId="0">
      <pane ySplit="3" topLeftCell="A20" activePane="bottomLeft" state="frozen"/>
      <selection pane="bottomLeft" activeCell="G10" sqref="G10"/>
    </sheetView>
  </sheetViews>
  <sheetFormatPr defaultRowHeight="15"/>
  <cols>
    <col min="1" max="1" width="3.5703125" customWidth="1"/>
    <col min="2" max="2" width="18.5703125" customWidth="1"/>
    <col min="3" max="3" width="27" customWidth="1"/>
    <col min="4" max="4" width="23.7109375" customWidth="1"/>
    <col min="5" max="5" width="30.28515625" customWidth="1"/>
    <col min="6" max="6" width="45.140625" bestFit="1" customWidth="1"/>
    <col min="7" max="7" width="59" customWidth="1"/>
    <col min="8" max="8" width="18.7109375" customWidth="1"/>
    <col min="9" max="9" width="28" bestFit="1" customWidth="1"/>
    <col min="10" max="10" width="19.85546875" customWidth="1"/>
    <col min="11" max="12" width="17.7109375" customWidth="1"/>
    <col min="13" max="15" width="22.7109375" customWidth="1"/>
  </cols>
  <sheetData>
    <row r="1" spans="1:15">
      <c r="B1" s="115"/>
    </row>
    <row r="2" spans="1:15" ht="52.5" customHeight="1" thickBot="1">
      <c r="B2" s="271" t="s">
        <v>458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3"/>
    </row>
    <row r="3" spans="1:15" ht="45">
      <c r="B3" s="122" t="s">
        <v>330</v>
      </c>
      <c r="C3" s="122" t="s">
        <v>2</v>
      </c>
      <c r="D3" s="122" t="s">
        <v>31</v>
      </c>
      <c r="E3" s="122" t="s">
        <v>3</v>
      </c>
      <c r="F3" s="122" t="s">
        <v>4</v>
      </c>
      <c r="G3" s="121" t="s">
        <v>459</v>
      </c>
      <c r="H3" s="122" t="s">
        <v>5</v>
      </c>
      <c r="I3" s="121" t="s">
        <v>6</v>
      </c>
      <c r="J3" s="122" t="s">
        <v>7</v>
      </c>
      <c r="K3" s="122" t="s">
        <v>8</v>
      </c>
      <c r="L3" s="122" t="s">
        <v>387</v>
      </c>
      <c r="M3" s="121" t="s">
        <v>10</v>
      </c>
      <c r="N3" s="121" t="s">
        <v>11</v>
      </c>
      <c r="O3" s="121" t="s">
        <v>12</v>
      </c>
    </row>
    <row r="4" spans="1:15" ht="60" customHeight="1">
      <c r="B4" s="140" t="s">
        <v>460</v>
      </c>
      <c r="C4" s="138" t="s">
        <v>461</v>
      </c>
      <c r="D4" s="138" t="s">
        <v>163</v>
      </c>
      <c r="E4" s="140" t="s">
        <v>462</v>
      </c>
      <c r="F4" s="140" t="s">
        <v>463</v>
      </c>
      <c r="G4" s="140" t="s">
        <v>50</v>
      </c>
      <c r="H4" s="141">
        <v>45708</v>
      </c>
      <c r="I4" s="141">
        <v>45708</v>
      </c>
      <c r="J4" s="140">
        <v>12</v>
      </c>
      <c r="K4" s="138" t="s">
        <v>464</v>
      </c>
      <c r="L4" s="141">
        <v>46437</v>
      </c>
      <c r="M4" s="138" t="s">
        <v>465</v>
      </c>
      <c r="N4" s="138" t="s">
        <v>227</v>
      </c>
      <c r="O4" s="140" t="s">
        <v>466</v>
      </c>
    </row>
    <row r="5" spans="1:15" ht="60" customHeight="1">
      <c r="B5" s="148" t="s">
        <v>467</v>
      </c>
      <c r="C5" s="149" t="s">
        <v>468</v>
      </c>
      <c r="D5" s="148" t="s">
        <v>42</v>
      </c>
      <c r="E5" s="143" t="s">
        <v>469</v>
      </c>
      <c r="F5" s="148" t="s">
        <v>470</v>
      </c>
      <c r="G5" s="148" t="s">
        <v>50</v>
      </c>
      <c r="H5" s="147">
        <v>45905</v>
      </c>
      <c r="I5" s="144">
        <v>45905</v>
      </c>
      <c r="J5" s="140">
        <v>12</v>
      </c>
      <c r="K5" s="138" t="s">
        <v>50</v>
      </c>
      <c r="L5" s="147">
        <v>46269</v>
      </c>
      <c r="M5" s="138" t="s">
        <v>465</v>
      </c>
      <c r="N5" s="62" t="s">
        <v>471</v>
      </c>
      <c r="O5" s="1"/>
    </row>
    <row r="6" spans="1:15" ht="60" customHeight="1">
      <c r="B6" s="140" t="s">
        <v>472</v>
      </c>
      <c r="C6" s="138" t="s">
        <v>473</v>
      </c>
      <c r="D6" s="140" t="s">
        <v>34</v>
      </c>
      <c r="E6" s="150" t="s">
        <v>474</v>
      </c>
      <c r="F6" s="140" t="s">
        <v>475</v>
      </c>
      <c r="G6" s="148" t="s">
        <v>50</v>
      </c>
      <c r="H6" s="147">
        <v>45919</v>
      </c>
      <c r="I6" s="144">
        <v>45922</v>
      </c>
      <c r="J6" s="140">
        <v>12</v>
      </c>
      <c r="K6" s="138" t="s">
        <v>50</v>
      </c>
      <c r="L6" s="147">
        <v>46288</v>
      </c>
      <c r="M6" s="138" t="s">
        <v>465</v>
      </c>
      <c r="N6" s="62" t="s">
        <v>471</v>
      </c>
      <c r="O6" s="1"/>
    </row>
    <row r="7" spans="1:15" ht="60" customHeight="1">
      <c r="B7" s="140" t="s">
        <v>476</v>
      </c>
      <c r="C7" s="138" t="s">
        <v>473</v>
      </c>
      <c r="D7" s="140" t="s">
        <v>34</v>
      </c>
      <c r="E7" s="150" t="s">
        <v>474</v>
      </c>
      <c r="F7" s="140" t="s">
        <v>475</v>
      </c>
      <c r="G7" s="140" t="s">
        <v>477</v>
      </c>
      <c r="H7" s="147">
        <v>45978</v>
      </c>
      <c r="I7" s="144" t="s">
        <v>478</v>
      </c>
      <c r="J7" s="140">
        <v>60</v>
      </c>
      <c r="K7" s="138" t="s">
        <v>50</v>
      </c>
      <c r="L7" s="147">
        <v>46385</v>
      </c>
      <c r="M7" s="138" t="s">
        <v>465</v>
      </c>
      <c r="N7" s="62" t="s">
        <v>471</v>
      </c>
      <c r="O7" s="1"/>
    </row>
    <row r="8" spans="1:15" ht="60" customHeight="1">
      <c r="B8" s="130" t="s">
        <v>479</v>
      </c>
      <c r="C8" s="130" t="s">
        <v>480</v>
      </c>
      <c r="D8" s="130" t="s">
        <v>34</v>
      </c>
      <c r="E8" s="153" t="s">
        <v>481</v>
      </c>
      <c r="F8" s="130" t="s">
        <v>482</v>
      </c>
      <c r="G8" s="130" t="s">
        <v>483</v>
      </c>
      <c r="H8" s="147">
        <v>45943</v>
      </c>
      <c r="I8" s="144" t="s">
        <v>484</v>
      </c>
      <c r="J8" s="140">
        <v>12</v>
      </c>
      <c r="K8" s="138" t="s">
        <v>50</v>
      </c>
      <c r="L8" s="144">
        <v>46310</v>
      </c>
      <c r="M8" s="138" t="s">
        <v>465</v>
      </c>
      <c r="N8" s="130" t="s">
        <v>471</v>
      </c>
      <c r="O8" s="1"/>
    </row>
    <row r="9" spans="1:15" ht="60" customHeight="1">
      <c r="B9" s="130" t="s">
        <v>485</v>
      </c>
      <c r="C9" s="130" t="s">
        <v>486</v>
      </c>
      <c r="D9" s="130" t="s">
        <v>34</v>
      </c>
      <c r="E9" s="233" t="s">
        <v>487</v>
      </c>
      <c r="F9" s="130" t="s">
        <v>488</v>
      </c>
      <c r="G9" s="130" t="s">
        <v>489</v>
      </c>
      <c r="H9" s="147">
        <v>45951</v>
      </c>
      <c r="I9" s="144" t="s">
        <v>484</v>
      </c>
      <c r="J9" s="140">
        <v>12</v>
      </c>
      <c r="K9" s="138" t="s">
        <v>50</v>
      </c>
      <c r="L9" s="144">
        <v>46318</v>
      </c>
      <c r="M9" s="138" t="s">
        <v>465</v>
      </c>
      <c r="N9" s="130" t="s">
        <v>471</v>
      </c>
      <c r="O9" s="1"/>
    </row>
    <row r="10" spans="1:15" ht="45">
      <c r="B10" s="130" t="s">
        <v>490</v>
      </c>
      <c r="C10" s="130" t="s">
        <v>491</v>
      </c>
      <c r="D10" s="130" t="s">
        <v>102</v>
      </c>
      <c r="E10" s="153" t="s">
        <v>492</v>
      </c>
      <c r="F10" s="130" t="s">
        <v>493</v>
      </c>
      <c r="G10" s="130" t="s">
        <v>494</v>
      </c>
      <c r="H10" s="147">
        <v>45966</v>
      </c>
      <c r="I10" s="144" t="s">
        <v>484</v>
      </c>
      <c r="J10" s="140">
        <v>12</v>
      </c>
      <c r="K10" s="138" t="s">
        <v>50</v>
      </c>
      <c r="L10" s="144">
        <v>46333</v>
      </c>
      <c r="M10" s="138" t="s">
        <v>465</v>
      </c>
      <c r="N10" s="130" t="s">
        <v>471</v>
      </c>
      <c r="O10" s="1"/>
    </row>
    <row r="11" spans="1:15" ht="121.5">
      <c r="B11" s="130" t="s">
        <v>495</v>
      </c>
      <c r="C11" s="130" t="s">
        <v>496</v>
      </c>
      <c r="D11" s="130" t="s">
        <v>34</v>
      </c>
      <c r="E11" s="233" t="s">
        <v>497</v>
      </c>
      <c r="F11" s="237" t="s">
        <v>498</v>
      </c>
      <c r="G11" s="130" t="s">
        <v>499</v>
      </c>
      <c r="H11" s="147">
        <v>45909</v>
      </c>
      <c r="I11" s="147">
        <v>45909</v>
      </c>
      <c r="J11" s="140">
        <v>24</v>
      </c>
      <c r="K11" s="138" t="s">
        <v>50</v>
      </c>
      <c r="L11" s="147">
        <v>46638</v>
      </c>
      <c r="M11" s="138" t="s">
        <v>465</v>
      </c>
      <c r="N11" s="130" t="s">
        <v>471</v>
      </c>
      <c r="O11" s="1" t="s">
        <v>500</v>
      </c>
    </row>
    <row r="12" spans="1:15" ht="125.25" customHeight="1">
      <c r="A12" s="152"/>
      <c r="B12" s="130" t="s">
        <v>501</v>
      </c>
      <c r="C12" s="130" t="s">
        <v>502</v>
      </c>
      <c r="D12" s="130" t="s">
        <v>34</v>
      </c>
      <c r="E12" s="153" t="s">
        <v>503</v>
      </c>
      <c r="F12" s="135" t="s">
        <v>504</v>
      </c>
      <c r="G12" s="130" t="s">
        <v>50</v>
      </c>
      <c r="H12" s="147">
        <v>45993</v>
      </c>
      <c r="I12" s="144">
        <v>45993</v>
      </c>
      <c r="J12" s="140">
        <v>24</v>
      </c>
      <c r="K12" s="138" t="s">
        <v>50</v>
      </c>
      <c r="L12" s="144">
        <v>46722</v>
      </c>
      <c r="M12" s="138" t="s">
        <v>465</v>
      </c>
      <c r="N12" s="130" t="s">
        <v>471</v>
      </c>
      <c r="O12" s="1" t="s">
        <v>505</v>
      </c>
    </row>
    <row r="13" spans="1:15" ht="90">
      <c r="A13" s="152"/>
      <c r="B13" s="130" t="s">
        <v>506</v>
      </c>
      <c r="C13" s="130" t="s">
        <v>491</v>
      </c>
      <c r="D13" s="130" t="s">
        <v>102</v>
      </c>
      <c r="E13" s="153" t="s">
        <v>507</v>
      </c>
      <c r="F13" s="130" t="s">
        <v>508</v>
      </c>
      <c r="G13" s="130" t="s">
        <v>509</v>
      </c>
      <c r="H13" s="147">
        <v>46006</v>
      </c>
      <c r="I13" s="144">
        <v>46006</v>
      </c>
      <c r="J13" s="140">
        <v>24</v>
      </c>
      <c r="K13" s="138" t="s">
        <v>50</v>
      </c>
      <c r="L13" s="144">
        <v>46735</v>
      </c>
      <c r="M13" s="138" t="s">
        <v>465</v>
      </c>
      <c r="N13" s="130" t="s">
        <v>471</v>
      </c>
      <c r="O13" s="1" t="s">
        <v>510</v>
      </c>
    </row>
    <row r="14" spans="1:15" ht="45">
      <c r="B14" s="140" t="s">
        <v>511</v>
      </c>
      <c r="C14" s="138" t="s">
        <v>512</v>
      </c>
      <c r="D14" s="140" t="s">
        <v>152</v>
      </c>
      <c r="E14" s="150" t="s">
        <v>289</v>
      </c>
      <c r="F14" s="140" t="s">
        <v>513</v>
      </c>
      <c r="G14" s="140" t="s">
        <v>514</v>
      </c>
      <c r="H14" s="145">
        <v>45877</v>
      </c>
      <c r="I14" s="144">
        <v>45877</v>
      </c>
      <c r="J14" s="140">
        <v>36</v>
      </c>
      <c r="K14" s="138" t="s">
        <v>50</v>
      </c>
      <c r="L14" s="147">
        <v>46972</v>
      </c>
      <c r="M14" s="138" t="s">
        <v>465</v>
      </c>
      <c r="N14" s="62" t="s">
        <v>227</v>
      </c>
      <c r="O14" s="1" t="s">
        <v>515</v>
      </c>
    </row>
    <row r="15" spans="1:15" ht="71.25" customHeight="1">
      <c r="B15" s="140" t="s">
        <v>516</v>
      </c>
      <c r="C15" s="140" t="s">
        <v>517</v>
      </c>
      <c r="D15" s="140" t="s">
        <v>34</v>
      </c>
      <c r="E15" s="150" t="s">
        <v>518</v>
      </c>
      <c r="F15" s="140" t="s">
        <v>519</v>
      </c>
      <c r="G15" s="140" t="s">
        <v>520</v>
      </c>
      <c r="H15" s="144">
        <v>45812</v>
      </c>
      <c r="I15" s="144">
        <v>45812</v>
      </c>
      <c r="J15" s="140">
        <v>60</v>
      </c>
      <c r="K15" s="138" t="s">
        <v>50</v>
      </c>
      <c r="L15" s="136">
        <v>47637</v>
      </c>
      <c r="M15" s="138" t="s">
        <v>465</v>
      </c>
      <c r="N15" s="138" t="s">
        <v>50</v>
      </c>
      <c r="O15" s="140" t="s">
        <v>521</v>
      </c>
    </row>
    <row r="16" spans="1:15" ht="70.5" customHeight="1">
      <c r="B16" s="148" t="s">
        <v>522</v>
      </c>
      <c r="C16" s="149" t="s">
        <v>523</v>
      </c>
      <c r="D16" s="149" t="s">
        <v>152</v>
      </c>
      <c r="E16" s="236" t="s">
        <v>524</v>
      </c>
      <c r="F16" s="148" t="s">
        <v>525</v>
      </c>
      <c r="G16" s="148" t="s">
        <v>50</v>
      </c>
      <c r="H16" s="240">
        <v>45796</v>
      </c>
      <c r="I16" s="148" t="s">
        <v>526</v>
      </c>
      <c r="J16" s="148">
        <v>60</v>
      </c>
      <c r="K16" s="149" t="s">
        <v>50</v>
      </c>
      <c r="L16" s="240">
        <v>47642</v>
      </c>
      <c r="M16" s="149" t="s">
        <v>465</v>
      </c>
      <c r="N16" s="149" t="s">
        <v>227</v>
      </c>
      <c r="O16" s="148" t="s">
        <v>527</v>
      </c>
    </row>
    <row r="17" spans="2:15" ht="70.5" customHeight="1">
      <c r="B17" s="225" t="s">
        <v>528</v>
      </c>
      <c r="C17" s="226" t="s">
        <v>529</v>
      </c>
      <c r="D17" s="225" t="s">
        <v>530</v>
      </c>
      <c r="E17" s="235" t="s">
        <v>423</v>
      </c>
      <c r="F17" s="225" t="s">
        <v>531</v>
      </c>
      <c r="G17" s="225" t="s">
        <v>50</v>
      </c>
      <c r="H17" s="239">
        <v>45855</v>
      </c>
      <c r="I17" s="224">
        <v>45856</v>
      </c>
      <c r="J17" s="225">
        <v>60</v>
      </c>
      <c r="K17" s="226" t="s">
        <v>50</v>
      </c>
      <c r="L17" s="223">
        <v>47681</v>
      </c>
      <c r="M17" s="226" t="s">
        <v>465</v>
      </c>
      <c r="N17" s="226" t="s">
        <v>227</v>
      </c>
      <c r="O17" s="220" t="s">
        <v>532</v>
      </c>
    </row>
    <row r="18" spans="2:15" ht="70.5" customHeight="1">
      <c r="B18" s="221" t="s">
        <v>533</v>
      </c>
      <c r="C18" s="221" t="s">
        <v>534</v>
      </c>
      <c r="D18" s="221" t="s">
        <v>110</v>
      </c>
      <c r="E18" s="222" t="s">
        <v>535</v>
      </c>
      <c r="F18" s="225" t="s">
        <v>536</v>
      </c>
      <c r="G18" s="225" t="s">
        <v>537</v>
      </c>
      <c r="H18" s="223">
        <v>45908</v>
      </c>
      <c r="I18" s="224">
        <v>45909</v>
      </c>
      <c r="J18" s="225">
        <v>60</v>
      </c>
      <c r="K18" s="226" t="s">
        <v>50</v>
      </c>
      <c r="L18" s="223">
        <v>47734</v>
      </c>
      <c r="M18" s="226" t="s">
        <v>465</v>
      </c>
      <c r="N18" s="221" t="s">
        <v>50</v>
      </c>
      <c r="O18" s="220" t="s">
        <v>538</v>
      </c>
    </row>
    <row r="19" spans="2:15" ht="70.5" customHeight="1">
      <c r="B19" s="225" t="s">
        <v>539</v>
      </c>
      <c r="C19" s="218" t="s">
        <v>443</v>
      </c>
      <c r="D19" s="217" t="s">
        <v>34</v>
      </c>
      <c r="E19" s="234" t="s">
        <v>406</v>
      </c>
      <c r="F19" s="217" t="s">
        <v>407</v>
      </c>
      <c r="G19" s="217" t="s">
        <v>50</v>
      </c>
      <c r="H19" s="238">
        <v>45923</v>
      </c>
      <c r="I19" s="219">
        <v>45915</v>
      </c>
      <c r="J19" s="217">
        <v>60</v>
      </c>
      <c r="K19" s="218" t="s">
        <v>50</v>
      </c>
      <c r="L19" s="216">
        <v>47740</v>
      </c>
      <c r="M19" s="226" t="s">
        <v>465</v>
      </c>
      <c r="N19" s="232" t="s">
        <v>50</v>
      </c>
      <c r="O19" s="213" t="s">
        <v>540</v>
      </c>
    </row>
    <row r="20" spans="2:15" ht="70.5" customHeight="1">
      <c r="B20" s="221" t="s">
        <v>541</v>
      </c>
      <c r="C20" s="228" t="s">
        <v>448</v>
      </c>
      <c r="D20" s="214" t="s">
        <v>89</v>
      </c>
      <c r="E20" s="215" t="s">
        <v>542</v>
      </c>
      <c r="F20" s="214" t="s">
        <v>543</v>
      </c>
      <c r="G20" s="214" t="s">
        <v>544</v>
      </c>
      <c r="H20" s="216">
        <v>45940</v>
      </c>
      <c r="I20" s="219" t="s">
        <v>254</v>
      </c>
      <c r="J20" s="217">
        <v>60</v>
      </c>
      <c r="K20" s="218" t="s">
        <v>50</v>
      </c>
      <c r="L20" s="227">
        <v>47765</v>
      </c>
      <c r="M20" s="218" t="s">
        <v>465</v>
      </c>
      <c r="N20" s="228" t="s">
        <v>50</v>
      </c>
      <c r="O20" s="213" t="s">
        <v>545</v>
      </c>
    </row>
    <row r="21" spans="2:15" ht="70.5" customHeight="1">
      <c r="B21" s="214" t="s">
        <v>546</v>
      </c>
      <c r="C21" s="228" t="s">
        <v>448</v>
      </c>
      <c r="D21" s="214" t="s">
        <v>89</v>
      </c>
      <c r="E21" s="215" t="s">
        <v>542</v>
      </c>
      <c r="F21" s="214" t="s">
        <v>547</v>
      </c>
      <c r="G21" s="214" t="s">
        <v>544</v>
      </c>
      <c r="H21" s="216">
        <v>45940</v>
      </c>
      <c r="I21" s="217" t="s">
        <v>254</v>
      </c>
      <c r="J21" s="217">
        <v>60</v>
      </c>
      <c r="K21" s="218" t="s">
        <v>50</v>
      </c>
      <c r="L21" s="227">
        <v>47765</v>
      </c>
      <c r="M21" s="218" t="s">
        <v>465</v>
      </c>
      <c r="N21" s="228" t="s">
        <v>50</v>
      </c>
      <c r="O21" s="213" t="s">
        <v>545</v>
      </c>
    </row>
    <row r="22" spans="2:15" ht="60">
      <c r="B22" s="242" t="s">
        <v>548</v>
      </c>
      <c r="C22" s="228" t="s">
        <v>549</v>
      </c>
      <c r="D22" s="214" t="s">
        <v>34</v>
      </c>
      <c r="E22" s="215" t="s">
        <v>180</v>
      </c>
      <c r="F22" s="214" t="s">
        <v>550</v>
      </c>
      <c r="G22" s="214" t="s">
        <v>50</v>
      </c>
      <c r="H22" s="216">
        <v>46020</v>
      </c>
      <c r="I22" s="219">
        <v>46021</v>
      </c>
      <c r="J22" s="217">
        <v>60</v>
      </c>
      <c r="K22" s="218" t="s">
        <v>50</v>
      </c>
      <c r="L22" s="227">
        <v>47847</v>
      </c>
      <c r="M22" s="218" t="s">
        <v>465</v>
      </c>
      <c r="N22" s="228" t="s">
        <v>227</v>
      </c>
      <c r="O22" s="213" t="s">
        <v>551</v>
      </c>
    </row>
  </sheetData>
  <autoFilter ref="B3:O22" xr:uid="{7F244242-B100-4C23-AB23-F463946EFEA1}">
    <sortState xmlns:xlrd2="http://schemas.microsoft.com/office/spreadsheetml/2017/richdata2" ref="B4:O21">
      <sortCondition ref="L3"/>
    </sortState>
  </autoFilter>
  <mergeCells count="1">
    <mergeCell ref="B2:O2"/>
  </mergeCells>
  <conditionalFormatting sqref="M4:M22">
    <cfRule type="cellIs" dxfId="9" priority="1" operator="equal">
      <formula>"Encerrado"</formula>
    </cfRule>
    <cfRule type="cellIs" dxfId="8" priority="2" operator="equal">
      <formula>"Vigente"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A11C-25E8-4DB5-818D-99516239D2F3}">
  <sheetPr>
    <pageSetUpPr fitToPage="1"/>
  </sheetPr>
  <dimension ref="B1:O12"/>
  <sheetViews>
    <sheetView zoomScale="80" zoomScaleNormal="80" workbookViewId="0">
      <pane ySplit="3" topLeftCell="A8" activePane="bottomLeft" state="frozen"/>
      <selection pane="bottomLeft" activeCell="G10" sqref="G10"/>
    </sheetView>
  </sheetViews>
  <sheetFormatPr defaultRowHeight="15"/>
  <cols>
    <col min="1" max="1" width="5.7109375" customWidth="1"/>
    <col min="2" max="2" width="18.5703125" customWidth="1"/>
    <col min="3" max="3" width="27" customWidth="1"/>
    <col min="4" max="4" width="23.7109375" customWidth="1"/>
    <col min="5" max="5" width="30.28515625" customWidth="1"/>
    <col min="6" max="6" width="45.140625" bestFit="1" customWidth="1"/>
    <col min="7" max="7" width="59" customWidth="1"/>
    <col min="8" max="8" width="18.7109375" customWidth="1"/>
    <col min="9" max="9" width="28" bestFit="1" customWidth="1"/>
    <col min="10" max="10" width="19.85546875" customWidth="1"/>
    <col min="11" max="12" width="17.7109375" customWidth="1"/>
    <col min="13" max="15" width="22.7109375" customWidth="1"/>
  </cols>
  <sheetData>
    <row r="1" spans="2:15">
      <c r="B1" s="115"/>
    </row>
    <row r="2" spans="2:15" ht="52.5" customHeight="1">
      <c r="B2" s="271" t="s">
        <v>552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3"/>
    </row>
    <row r="3" spans="2:15" ht="45.75">
      <c r="B3" s="122" t="s">
        <v>330</v>
      </c>
      <c r="C3" s="122" t="s">
        <v>2</v>
      </c>
      <c r="D3" s="122" t="s">
        <v>31</v>
      </c>
      <c r="E3" s="122" t="s">
        <v>3</v>
      </c>
      <c r="F3" s="122" t="s">
        <v>4</v>
      </c>
      <c r="G3" s="121" t="s">
        <v>553</v>
      </c>
      <c r="H3" s="122" t="s">
        <v>5</v>
      </c>
      <c r="I3" s="121" t="s">
        <v>6</v>
      </c>
      <c r="J3" s="122" t="s">
        <v>7</v>
      </c>
      <c r="K3" s="122" t="s">
        <v>8</v>
      </c>
      <c r="L3" s="178" t="s">
        <v>387</v>
      </c>
      <c r="M3" s="180" t="s">
        <v>10</v>
      </c>
      <c r="N3" s="180" t="s">
        <v>11</v>
      </c>
      <c r="O3" s="180" t="s">
        <v>12</v>
      </c>
    </row>
    <row r="4" spans="2:15" ht="60" customHeight="1">
      <c r="B4" s="221" t="s">
        <v>554</v>
      </c>
      <c r="C4" s="243" t="s">
        <v>555</v>
      </c>
      <c r="D4" s="221" t="s">
        <v>34</v>
      </c>
      <c r="E4" s="222" t="s">
        <v>556</v>
      </c>
      <c r="F4" s="221" t="s">
        <v>557</v>
      </c>
      <c r="G4" s="221" t="s">
        <v>558</v>
      </c>
      <c r="H4" s="223">
        <v>46022</v>
      </c>
      <c r="I4" s="224" t="s">
        <v>484</v>
      </c>
      <c r="J4" s="225">
        <v>12</v>
      </c>
      <c r="K4" s="244" t="s">
        <v>50</v>
      </c>
      <c r="L4" s="219">
        <v>46391</v>
      </c>
      <c r="M4" s="218" t="s">
        <v>465</v>
      </c>
      <c r="N4" s="214" t="s">
        <v>471</v>
      </c>
      <c r="O4" s="213"/>
    </row>
    <row r="5" spans="2:15" ht="60" customHeight="1">
      <c r="B5" s="221" t="s">
        <v>559</v>
      </c>
      <c r="C5" s="243" t="s">
        <v>560</v>
      </c>
      <c r="D5" s="221" t="s">
        <v>34</v>
      </c>
      <c r="E5" s="222" t="s">
        <v>136</v>
      </c>
      <c r="F5" s="221" t="s">
        <v>561</v>
      </c>
      <c r="G5" s="221" t="s">
        <v>50</v>
      </c>
      <c r="H5" s="216">
        <v>46083</v>
      </c>
      <c r="I5" s="224" t="s">
        <v>562</v>
      </c>
      <c r="J5" s="225">
        <v>12</v>
      </c>
      <c r="K5" s="244" t="s">
        <v>50</v>
      </c>
      <c r="L5" s="219">
        <v>46447</v>
      </c>
      <c r="M5" s="218" t="s">
        <v>465</v>
      </c>
      <c r="N5" s="214" t="s">
        <v>471</v>
      </c>
      <c r="O5" s="213"/>
    </row>
    <row r="6" spans="2:15" ht="60" customHeight="1">
      <c r="B6" s="214" t="s">
        <v>563</v>
      </c>
      <c r="C6" s="214" t="s">
        <v>560</v>
      </c>
      <c r="D6" s="214" t="s">
        <v>34</v>
      </c>
      <c r="E6" s="215" t="s">
        <v>564</v>
      </c>
      <c r="F6" s="214" t="s">
        <v>565</v>
      </c>
      <c r="G6" s="214" t="s">
        <v>50</v>
      </c>
      <c r="H6" s="216">
        <v>46083</v>
      </c>
      <c r="I6" s="219" t="s">
        <v>562</v>
      </c>
      <c r="J6" s="217">
        <v>12</v>
      </c>
      <c r="K6" s="245" t="s">
        <v>50</v>
      </c>
      <c r="L6" s="219">
        <v>46447</v>
      </c>
      <c r="M6" s="218" t="s">
        <v>465</v>
      </c>
      <c r="N6" s="214" t="s">
        <v>471</v>
      </c>
      <c r="O6" s="213"/>
    </row>
    <row r="7" spans="2:15" ht="60" customHeight="1">
      <c r="B7" s="221" t="s">
        <v>566</v>
      </c>
      <c r="C7" s="221" t="s">
        <v>560</v>
      </c>
      <c r="D7" s="221" t="s">
        <v>34</v>
      </c>
      <c r="E7" s="222" t="s">
        <v>567</v>
      </c>
      <c r="F7" s="214" t="s">
        <v>568</v>
      </c>
      <c r="G7" s="214" t="s">
        <v>50</v>
      </c>
      <c r="H7" s="223">
        <v>46084</v>
      </c>
      <c r="I7" s="224" t="s">
        <v>562</v>
      </c>
      <c r="J7" s="225">
        <v>12</v>
      </c>
      <c r="K7" s="244" t="s">
        <v>50</v>
      </c>
      <c r="L7" s="219">
        <v>46448</v>
      </c>
      <c r="M7" s="218" t="s">
        <v>465</v>
      </c>
      <c r="N7" s="214" t="s">
        <v>471</v>
      </c>
      <c r="O7" s="213"/>
    </row>
    <row r="8" spans="2:15" ht="60" customHeight="1">
      <c r="B8" s="221" t="s">
        <v>569</v>
      </c>
      <c r="C8" s="221" t="s">
        <v>570</v>
      </c>
      <c r="D8" s="221" t="s">
        <v>110</v>
      </c>
      <c r="E8" s="222" t="s">
        <v>571</v>
      </c>
      <c r="F8" s="221" t="s">
        <v>572</v>
      </c>
      <c r="G8" s="221" t="s">
        <v>50</v>
      </c>
      <c r="H8" s="223">
        <v>46085</v>
      </c>
      <c r="I8" s="224" t="s">
        <v>573</v>
      </c>
      <c r="J8" s="225">
        <v>60</v>
      </c>
      <c r="K8" s="244" t="s">
        <v>50</v>
      </c>
      <c r="L8" s="224">
        <v>47910</v>
      </c>
      <c r="M8" s="226" t="s">
        <v>465</v>
      </c>
      <c r="N8" s="221" t="s">
        <v>471</v>
      </c>
      <c r="O8" s="220"/>
    </row>
    <row r="9" spans="2:15" ht="60" customHeight="1">
      <c r="B9" s="221" t="s">
        <v>574</v>
      </c>
      <c r="C9" s="221" t="s">
        <v>575</v>
      </c>
      <c r="D9" s="221" t="s">
        <v>576</v>
      </c>
      <c r="E9" s="222" t="s">
        <v>577</v>
      </c>
      <c r="F9" s="221" t="s">
        <v>578</v>
      </c>
      <c r="G9" s="221" t="s">
        <v>50</v>
      </c>
      <c r="H9" s="223">
        <v>46099</v>
      </c>
      <c r="I9" s="224" t="s">
        <v>562</v>
      </c>
      <c r="J9" s="225">
        <v>12</v>
      </c>
      <c r="K9" s="226" t="s">
        <v>50</v>
      </c>
      <c r="L9" s="246">
        <v>46463</v>
      </c>
      <c r="M9" s="226" t="s">
        <v>465</v>
      </c>
      <c r="N9" s="243" t="s">
        <v>471</v>
      </c>
      <c r="O9" s="220"/>
    </row>
    <row r="10" spans="2:15" ht="60" customHeight="1">
      <c r="B10" s="214" t="s">
        <v>579</v>
      </c>
      <c r="C10" s="214" t="s">
        <v>580</v>
      </c>
      <c r="D10" s="214" t="s">
        <v>110</v>
      </c>
      <c r="E10" s="215" t="s">
        <v>581</v>
      </c>
      <c r="F10" s="214" t="s">
        <v>582</v>
      </c>
      <c r="G10" s="214" t="s">
        <v>583</v>
      </c>
      <c r="H10" s="216">
        <v>46098</v>
      </c>
      <c r="I10" s="219" t="s">
        <v>562</v>
      </c>
      <c r="J10" s="217">
        <v>36</v>
      </c>
      <c r="K10" s="218" t="s">
        <v>50</v>
      </c>
      <c r="L10" s="219">
        <v>47193</v>
      </c>
      <c r="M10" s="218" t="s">
        <v>465</v>
      </c>
      <c r="N10" s="260" t="s">
        <v>471</v>
      </c>
      <c r="O10" s="220"/>
    </row>
    <row r="11" spans="2:15" ht="54.75" customHeight="1">
      <c r="B11" s="214" t="s">
        <v>584</v>
      </c>
      <c r="C11" s="214" t="s">
        <v>585</v>
      </c>
      <c r="D11" s="214" t="s">
        <v>89</v>
      </c>
      <c r="E11" s="215" t="s">
        <v>586</v>
      </c>
      <c r="F11" s="214" t="s">
        <v>587</v>
      </c>
      <c r="G11" s="214" t="s">
        <v>588</v>
      </c>
      <c r="H11" s="216">
        <v>46118</v>
      </c>
      <c r="I11" s="219" t="s">
        <v>589</v>
      </c>
      <c r="J11" s="217">
        <v>12</v>
      </c>
      <c r="K11" s="218" t="s">
        <v>50</v>
      </c>
      <c r="L11" s="219">
        <v>46532</v>
      </c>
      <c r="M11" s="245" t="s">
        <v>465</v>
      </c>
      <c r="N11" s="214" t="s">
        <v>471</v>
      </c>
      <c r="O11" s="259"/>
    </row>
    <row r="12" spans="2:15" ht="45.75">
      <c r="B12" s="214" t="s">
        <v>590</v>
      </c>
      <c r="C12" s="214" t="s">
        <v>591</v>
      </c>
      <c r="D12" s="214" t="s">
        <v>592</v>
      </c>
      <c r="E12" s="215" t="s">
        <v>593</v>
      </c>
      <c r="F12" s="214" t="s">
        <v>594</v>
      </c>
      <c r="G12" s="214" t="s">
        <v>50</v>
      </c>
      <c r="H12" s="216">
        <v>46119</v>
      </c>
      <c r="I12" s="219" t="s">
        <v>562</v>
      </c>
      <c r="J12" s="217">
        <v>12</v>
      </c>
      <c r="K12" s="218" t="s">
        <v>50</v>
      </c>
      <c r="L12" s="219">
        <v>46483</v>
      </c>
      <c r="M12" s="245" t="s">
        <v>465</v>
      </c>
      <c r="N12" s="214" t="s">
        <v>471</v>
      </c>
      <c r="O12" s="259"/>
    </row>
  </sheetData>
  <autoFilter ref="B3:O3" xr:uid="{7F244242-B100-4C23-AB23-F463946EFEA1}"/>
  <mergeCells count="1">
    <mergeCell ref="B2:O2"/>
  </mergeCells>
  <conditionalFormatting sqref="M4 M6:M12">
    <cfRule type="cellIs" dxfId="7" priority="5" operator="equal">
      <formula>"Encerrado"</formula>
    </cfRule>
    <cfRule type="cellIs" dxfId="6" priority="6" operator="equal">
      <formula>"Vigente"</formula>
    </cfRule>
  </conditionalFormatting>
  <conditionalFormatting sqref="M5">
    <cfRule type="cellIs" dxfId="5" priority="3" operator="equal">
      <formula>"Encerrado"</formula>
    </cfRule>
    <cfRule type="cellIs" dxfId="4" priority="4" operator="equal">
      <formula>"Vigente"</formula>
    </cfRule>
  </conditionalFormatting>
  <pageMargins left="0.511811024" right="0.511811024" top="0.78740157499999996" bottom="0.78740157499999996" header="0.31496062000000002" footer="0.31496062000000002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00E6-D867-4994-BC86-28AA25F163FE}">
  <sheetPr filterMode="1">
    <tabColor rgb="FFC00000"/>
  </sheetPr>
  <dimension ref="A1:H68"/>
  <sheetViews>
    <sheetView showGridLines="0" tabSelected="1" workbookViewId="0">
      <pane ySplit="3" topLeftCell="A60" activePane="bottomLeft" state="frozen"/>
      <selection pane="bottomLeft" activeCell="D60" sqref="D60"/>
    </sheetView>
  </sheetViews>
  <sheetFormatPr defaultColWidth="9.140625" defaultRowHeight="15"/>
  <cols>
    <col min="1" max="1" width="9.140625" customWidth="1"/>
    <col min="2" max="2" width="22.42578125" customWidth="1"/>
    <col min="3" max="3" width="35.42578125" customWidth="1"/>
    <col min="4" max="4" width="60.5703125" customWidth="1"/>
    <col min="5" max="5" width="22.85546875" customWidth="1"/>
    <col min="6" max="6" width="17.42578125" customWidth="1"/>
    <col min="7" max="7" width="18.28515625" customWidth="1"/>
    <col min="8" max="8" width="22.42578125" customWidth="1"/>
    <col min="9" max="9" width="9.140625" customWidth="1"/>
    <col min="10" max="10" width="9.140625" bestFit="1" customWidth="1"/>
  </cols>
  <sheetData>
    <row r="1" spans="1:8" ht="42" customHeight="1">
      <c r="A1" s="267" t="s">
        <v>595</v>
      </c>
      <c r="B1" s="267"/>
      <c r="C1" s="267"/>
      <c r="D1" s="267"/>
      <c r="E1" s="267"/>
      <c r="F1" s="267"/>
      <c r="G1" s="268"/>
      <c r="H1" s="247" t="s">
        <v>596</v>
      </c>
    </row>
    <row r="2" spans="1:8" ht="39.75" customHeight="1">
      <c r="A2" s="269"/>
      <c r="B2" s="269"/>
      <c r="C2" s="269"/>
      <c r="D2" s="269"/>
      <c r="E2" s="269"/>
      <c r="F2" s="269"/>
      <c r="G2" s="270"/>
      <c r="H2" s="248" cm="1">
        <f t="array" aca="1" ref="H2" ca="1">SUMPRODUCT(SUBTOTAL(103,OFFSET(H4,ROW(H4:H1006)-ROW(H4),0,1)),--(H4:H1006="Vigente"))</f>
        <v>9</v>
      </c>
    </row>
    <row r="3" spans="1:8" ht="28.5">
      <c r="A3" s="249" t="s">
        <v>597</v>
      </c>
      <c r="B3" s="249" t="s">
        <v>1</v>
      </c>
      <c r="C3" s="250" t="s">
        <v>3</v>
      </c>
      <c r="D3" s="250" t="s">
        <v>4</v>
      </c>
      <c r="E3" s="250" t="s">
        <v>598</v>
      </c>
      <c r="F3" s="250" t="s">
        <v>7</v>
      </c>
      <c r="G3" s="250" t="s">
        <v>9</v>
      </c>
      <c r="H3" s="249" t="s">
        <v>10</v>
      </c>
    </row>
    <row r="4" spans="1:8" ht="45.75" hidden="1" customHeight="1">
      <c r="A4" s="251">
        <v>2020</v>
      </c>
      <c r="B4" s="251" t="s">
        <v>599</v>
      </c>
      <c r="C4" s="252" t="s">
        <v>111</v>
      </c>
      <c r="D4" s="251" t="s">
        <v>600</v>
      </c>
      <c r="E4" s="251" t="s">
        <v>601</v>
      </c>
      <c r="F4" s="251">
        <v>12</v>
      </c>
      <c r="G4" s="253">
        <v>46197</v>
      </c>
      <c r="H4" s="254" t="str">
        <f ca="1">IF(G4&lt;TODAY(),"Encerrado","Vigente")</f>
        <v>Vigente</v>
      </c>
    </row>
    <row r="5" spans="1:8" ht="45.75" hidden="1" customHeight="1">
      <c r="A5" s="251">
        <v>2021</v>
      </c>
      <c r="B5" s="251" t="s">
        <v>213</v>
      </c>
      <c r="C5" s="252" t="s">
        <v>215</v>
      </c>
      <c r="D5" s="251" t="s">
        <v>602</v>
      </c>
      <c r="E5" s="251"/>
      <c r="F5" s="251">
        <v>60</v>
      </c>
      <c r="G5" s="253">
        <v>46223</v>
      </c>
      <c r="H5" s="254" t="str">
        <f ca="1">IF(G5&lt;TODAY(),"Encerrado","Vigente")</f>
        <v>Vigente</v>
      </c>
    </row>
    <row r="6" spans="1:8" ht="45.75" hidden="1" customHeight="1">
      <c r="A6" s="251">
        <v>2021</v>
      </c>
      <c r="B6" s="251" t="s">
        <v>218</v>
      </c>
      <c r="C6" s="252" t="s">
        <v>220</v>
      </c>
      <c r="D6" s="251" t="s">
        <v>603</v>
      </c>
      <c r="E6" s="251"/>
      <c r="F6" s="251">
        <v>60</v>
      </c>
      <c r="G6" s="253">
        <v>46221</v>
      </c>
      <c r="H6" s="254" t="str">
        <f ca="1">IF(G6&lt;TODAY(),"Encerrado","Vigente")</f>
        <v>Vigente</v>
      </c>
    </row>
    <row r="7" spans="1:8" ht="118.5" hidden="1" customHeight="1">
      <c r="A7" s="251">
        <v>2021</v>
      </c>
      <c r="B7" s="251" t="s">
        <v>222</v>
      </c>
      <c r="C7" s="252" t="s">
        <v>224</v>
      </c>
      <c r="D7" s="251" t="s">
        <v>604</v>
      </c>
      <c r="E7" s="251" t="s">
        <v>601</v>
      </c>
      <c r="F7" s="251">
        <v>30</v>
      </c>
      <c r="G7" s="253">
        <v>46287</v>
      </c>
      <c r="H7" s="254" t="str">
        <f ca="1">IF(G7&lt;TODAY(),"Encerrado","Vigente")</f>
        <v>Vigente</v>
      </c>
    </row>
    <row r="8" spans="1:8" ht="45.75" hidden="1" customHeight="1">
      <c r="A8" s="251">
        <v>2021</v>
      </c>
      <c r="B8" s="251" t="s">
        <v>229</v>
      </c>
      <c r="C8" s="252" t="s">
        <v>605</v>
      </c>
      <c r="D8" s="251" t="s">
        <v>606</v>
      </c>
      <c r="E8" s="251"/>
      <c r="F8" s="251">
        <v>60</v>
      </c>
      <c r="G8" s="253">
        <v>46331</v>
      </c>
      <c r="H8" s="254" t="str">
        <f ca="1">IF(G8&lt;TODAY(),"Encerrado","Vigente")</f>
        <v>Vigente</v>
      </c>
    </row>
    <row r="9" spans="1:8" ht="45.75" hidden="1">
      <c r="A9" s="251">
        <v>2022</v>
      </c>
      <c r="B9" s="251" t="s">
        <v>269</v>
      </c>
      <c r="C9" s="252" t="s">
        <v>271</v>
      </c>
      <c r="D9" s="251" t="s">
        <v>272</v>
      </c>
      <c r="E9" s="251"/>
      <c r="F9" s="251">
        <v>30</v>
      </c>
      <c r="G9" s="253">
        <v>45592</v>
      </c>
      <c r="H9" s="254" t="str">
        <f ca="1">IF(G9&lt;TODAY(),"Encerrado","Vigente")</f>
        <v>Encerrado</v>
      </c>
    </row>
    <row r="10" spans="1:8" ht="45.75" hidden="1">
      <c r="A10" s="130">
        <v>2022</v>
      </c>
      <c r="B10" s="130" t="s">
        <v>274</v>
      </c>
      <c r="C10" s="132" t="s">
        <v>277</v>
      </c>
      <c r="D10" s="130" t="s">
        <v>278</v>
      </c>
      <c r="E10" s="130"/>
      <c r="F10" s="134">
        <v>12</v>
      </c>
      <c r="G10" s="136">
        <v>45061</v>
      </c>
      <c r="H10" s="134" t="str">
        <f ca="1">IF(G10&lt;TODAY(),"Encerrado","Vigente")</f>
        <v>Encerrado</v>
      </c>
    </row>
    <row r="11" spans="1:8" ht="60.75" hidden="1">
      <c r="A11" s="251">
        <v>2022</v>
      </c>
      <c r="B11" s="130" t="s">
        <v>281</v>
      </c>
      <c r="C11" s="135" t="s">
        <v>283</v>
      </c>
      <c r="D11" s="130" t="s">
        <v>284</v>
      </c>
      <c r="E11" s="130"/>
      <c r="F11" s="134">
        <v>12</v>
      </c>
      <c r="G11" s="133">
        <v>45802</v>
      </c>
      <c r="H11" s="134" t="str">
        <f ca="1">IF(G11&lt;TODAY(),"Encerrado","Vigente")</f>
        <v>Encerrado</v>
      </c>
    </row>
    <row r="12" spans="1:8" ht="30" hidden="1">
      <c r="A12" s="130">
        <v>2022</v>
      </c>
      <c r="B12" s="130" t="s">
        <v>287</v>
      </c>
      <c r="C12" s="132" t="s">
        <v>289</v>
      </c>
      <c r="D12" s="130" t="s">
        <v>290</v>
      </c>
      <c r="E12" s="130"/>
      <c r="F12" s="130">
        <v>36</v>
      </c>
      <c r="G12" s="136">
        <v>45863</v>
      </c>
      <c r="H12" s="134" t="str">
        <f ca="1">IF(G12&lt;TODAY(),"Encerrado","Vigente")</f>
        <v>Encerrado</v>
      </c>
    </row>
    <row r="13" spans="1:8" ht="30" hidden="1">
      <c r="A13" s="251">
        <v>2022</v>
      </c>
      <c r="B13" s="130" t="s">
        <v>292</v>
      </c>
      <c r="C13" s="132" t="s">
        <v>136</v>
      </c>
      <c r="D13" s="130" t="s">
        <v>294</v>
      </c>
      <c r="E13" s="130" t="s">
        <v>601</v>
      </c>
      <c r="F13" s="130">
        <v>20</v>
      </c>
      <c r="G13" s="133">
        <v>46613</v>
      </c>
      <c r="H13" s="134" t="str">
        <f ca="1">IF(G13&lt;TODAY(),"Encerrado","Vigente")</f>
        <v>Vigente</v>
      </c>
    </row>
    <row r="14" spans="1:8" ht="60.75" hidden="1">
      <c r="A14" s="130">
        <v>2022</v>
      </c>
      <c r="B14" s="130" t="s">
        <v>298</v>
      </c>
      <c r="C14" s="132" t="s">
        <v>300</v>
      </c>
      <c r="D14" s="130" t="s">
        <v>301</v>
      </c>
      <c r="E14" s="130"/>
      <c r="F14" s="134">
        <v>12</v>
      </c>
      <c r="G14" s="133">
        <v>45218</v>
      </c>
      <c r="H14" s="134" t="str">
        <f ca="1">IF(G14&lt;TODAY(),"Encerrado","Vigente")</f>
        <v>Encerrado</v>
      </c>
    </row>
    <row r="15" spans="1:8" ht="45.75" hidden="1">
      <c r="A15" s="251">
        <v>2022</v>
      </c>
      <c r="B15" s="130" t="s">
        <v>304</v>
      </c>
      <c r="C15" s="132" t="s">
        <v>306</v>
      </c>
      <c r="D15" s="130" t="s">
        <v>307</v>
      </c>
      <c r="E15" s="130"/>
      <c r="F15" s="130">
        <v>36</v>
      </c>
      <c r="G15" s="136">
        <v>46018</v>
      </c>
      <c r="H15" s="134" t="str">
        <f ca="1">IF(G15&lt;TODAY(),"Encerrado","Vigente")</f>
        <v>Encerrado</v>
      </c>
    </row>
    <row r="16" spans="1:8" ht="60.75" hidden="1">
      <c r="A16" s="130">
        <v>2022</v>
      </c>
      <c r="B16" s="130" t="s">
        <v>310</v>
      </c>
      <c r="C16" s="132" t="s">
        <v>312</v>
      </c>
      <c r="D16" s="130" t="s">
        <v>313</v>
      </c>
      <c r="E16" s="130"/>
      <c r="F16" s="134">
        <v>12</v>
      </c>
      <c r="G16" s="133">
        <v>45990</v>
      </c>
      <c r="H16" s="134" t="str">
        <f ca="1">IF(G16&lt;TODAY(),"Encerrado","Vigente")</f>
        <v>Encerrado</v>
      </c>
    </row>
    <row r="17" spans="1:8" ht="60.75" hidden="1">
      <c r="A17" s="251">
        <v>2022</v>
      </c>
      <c r="B17" s="130" t="s">
        <v>316</v>
      </c>
      <c r="C17" s="132" t="s">
        <v>319</v>
      </c>
      <c r="D17" s="130" t="s">
        <v>320</v>
      </c>
      <c r="E17" s="130"/>
      <c r="F17" s="134">
        <v>36</v>
      </c>
      <c r="G17" s="136">
        <v>45985</v>
      </c>
      <c r="H17" s="134" t="str">
        <f ca="1">IF(G17&lt;TODAY(),"Encerrado","Vigente")</f>
        <v>Encerrado</v>
      </c>
    </row>
    <row r="18" spans="1:8" ht="45.75" hidden="1">
      <c r="A18" s="130">
        <v>2022</v>
      </c>
      <c r="B18" s="130" t="s">
        <v>322</v>
      </c>
      <c r="C18" s="132" t="s">
        <v>324</v>
      </c>
      <c r="D18" s="130" t="s">
        <v>325</v>
      </c>
      <c r="E18" s="130" t="s">
        <v>601</v>
      </c>
      <c r="F18" s="130">
        <v>30</v>
      </c>
      <c r="G18" s="136">
        <v>46775</v>
      </c>
      <c r="H18" s="134" t="str">
        <f ca="1">IF(G18&lt;TODAY(),"Encerrado","Vigente")</f>
        <v>Vigente</v>
      </c>
    </row>
    <row r="19" spans="1:8" ht="45.75" hidden="1">
      <c r="A19" s="130">
        <v>2023</v>
      </c>
      <c r="B19" s="130" t="s">
        <v>331</v>
      </c>
      <c r="C19" s="130" t="s">
        <v>333</v>
      </c>
      <c r="D19" s="130" t="s">
        <v>334</v>
      </c>
      <c r="E19" s="130"/>
      <c r="F19" s="130">
        <v>36</v>
      </c>
      <c r="G19" s="136">
        <v>46104</v>
      </c>
      <c r="H19" s="134" t="str">
        <f ca="1">IF(G19&lt;TODAY(),"Encerrado","Vigente")</f>
        <v>Encerrado</v>
      </c>
    </row>
    <row r="20" spans="1:8" ht="60.75" hidden="1">
      <c r="A20" s="130">
        <v>2023</v>
      </c>
      <c r="B20" s="130" t="s">
        <v>337</v>
      </c>
      <c r="C20" s="130" t="s">
        <v>339</v>
      </c>
      <c r="D20" s="130" t="s">
        <v>340</v>
      </c>
      <c r="E20" s="130"/>
      <c r="F20" s="130">
        <v>36</v>
      </c>
      <c r="G20" s="136">
        <v>46086</v>
      </c>
      <c r="H20" s="134" t="str">
        <f ca="1">IF(G20&lt;TODAY(),"Encerrado","Vigente")</f>
        <v>Encerrado</v>
      </c>
    </row>
    <row r="21" spans="1:8" ht="30" hidden="1">
      <c r="A21" s="130">
        <v>2023</v>
      </c>
      <c r="B21" s="130" t="s">
        <v>343</v>
      </c>
      <c r="C21" s="132" t="s">
        <v>345</v>
      </c>
      <c r="D21" s="130" t="s">
        <v>346</v>
      </c>
      <c r="E21" s="130" t="s">
        <v>607</v>
      </c>
      <c r="F21" s="134">
        <v>36</v>
      </c>
      <c r="G21" s="136">
        <v>46167</v>
      </c>
      <c r="H21" s="134" t="str">
        <f ca="1">IF(G21&lt;TODAY(),"Encerrado","Vigente")</f>
        <v>Vigente</v>
      </c>
    </row>
    <row r="22" spans="1:8" ht="45.75" hidden="1">
      <c r="A22" s="130">
        <v>2023</v>
      </c>
      <c r="B22" s="130" t="s">
        <v>349</v>
      </c>
      <c r="C22" s="135" t="s">
        <v>306</v>
      </c>
      <c r="D22" s="130" t="s">
        <v>351</v>
      </c>
      <c r="E22" s="130" t="s">
        <v>601</v>
      </c>
      <c r="F22" s="134">
        <v>12</v>
      </c>
      <c r="G22" s="136">
        <v>46186</v>
      </c>
      <c r="H22" s="134" t="str">
        <f ca="1">IF(G22&lt;TODAY(),"Encerrado","Vigente")</f>
        <v>Vigente</v>
      </c>
    </row>
    <row r="23" spans="1:8" ht="75.75" hidden="1">
      <c r="A23" s="130">
        <v>2023</v>
      </c>
      <c r="B23" s="130" t="s">
        <v>354</v>
      </c>
      <c r="C23" s="130" t="s">
        <v>300</v>
      </c>
      <c r="D23" s="130" t="s">
        <v>355</v>
      </c>
      <c r="E23" s="130" t="s">
        <v>607</v>
      </c>
      <c r="F23" s="130" t="s">
        <v>356</v>
      </c>
      <c r="G23" s="133" t="s">
        <v>358</v>
      </c>
      <c r="H23" s="134" t="str">
        <f ca="1">IF(G23&lt;TODAY(),"Encerrado","Vigente")</f>
        <v>Vigente</v>
      </c>
    </row>
    <row r="24" spans="1:8" ht="30" hidden="1">
      <c r="A24" s="130">
        <v>2023</v>
      </c>
      <c r="B24" s="130" t="s">
        <v>360</v>
      </c>
      <c r="C24" s="130" t="s">
        <v>362</v>
      </c>
      <c r="D24" s="130" t="s">
        <v>363</v>
      </c>
      <c r="E24" s="130"/>
      <c r="F24" s="134">
        <v>24</v>
      </c>
      <c r="G24" s="136">
        <v>45899</v>
      </c>
      <c r="H24" s="134" t="str">
        <f ca="1">IF(G24&lt;TODAY(),"Encerrado","Vigente")</f>
        <v>Encerrado</v>
      </c>
    </row>
    <row r="25" spans="1:8" ht="30" hidden="1">
      <c r="A25" s="130">
        <v>2023</v>
      </c>
      <c r="B25" s="130" t="s">
        <v>365</v>
      </c>
      <c r="C25" s="130" t="s">
        <v>147</v>
      </c>
      <c r="D25" s="130" t="s">
        <v>367</v>
      </c>
      <c r="E25" s="130" t="s">
        <v>607</v>
      </c>
      <c r="F25" s="134">
        <v>36</v>
      </c>
      <c r="G25" s="136">
        <v>46293</v>
      </c>
      <c r="H25" s="134" t="str">
        <f ca="1">IF(G25&lt;TODAY(),"Encerrado","Vigente")</f>
        <v>Vigente</v>
      </c>
    </row>
    <row r="26" spans="1:8" ht="30" hidden="1">
      <c r="A26" s="130">
        <v>2023</v>
      </c>
      <c r="B26" s="130" t="s">
        <v>369</v>
      </c>
      <c r="C26" s="130" t="s">
        <v>147</v>
      </c>
      <c r="D26" s="130" t="s">
        <v>371</v>
      </c>
      <c r="E26" s="130" t="s">
        <v>607</v>
      </c>
      <c r="F26" s="134">
        <v>36</v>
      </c>
      <c r="G26" s="136">
        <v>46334</v>
      </c>
      <c r="H26" s="134" t="str">
        <f ca="1">IF(G26&lt;TODAY(),"Encerrado","Vigente")</f>
        <v>Vigente</v>
      </c>
    </row>
    <row r="27" spans="1:8" ht="30" hidden="1">
      <c r="A27" s="130">
        <v>2023</v>
      </c>
      <c r="B27" s="130" t="s">
        <v>373</v>
      </c>
      <c r="C27" s="134" t="s">
        <v>376</v>
      </c>
      <c r="D27" s="134" t="s">
        <v>377</v>
      </c>
      <c r="E27" s="134"/>
      <c r="F27" s="134">
        <v>12</v>
      </c>
      <c r="G27" s="136">
        <v>45654</v>
      </c>
      <c r="H27" s="134" t="str">
        <f ca="1">IF(G27&lt;TODAY(),"Encerrado","Vigente")</f>
        <v>Encerrado</v>
      </c>
    </row>
    <row r="28" spans="1:8" ht="30" hidden="1">
      <c r="A28" s="130">
        <v>2023</v>
      </c>
      <c r="B28" s="130" t="s">
        <v>380</v>
      </c>
      <c r="C28" s="134" t="s">
        <v>382</v>
      </c>
      <c r="D28" s="134" t="s">
        <v>383</v>
      </c>
      <c r="E28" s="134" t="s">
        <v>607</v>
      </c>
      <c r="F28" s="130">
        <v>60</v>
      </c>
      <c r="G28" s="136">
        <v>47215</v>
      </c>
      <c r="H28" s="134" t="str">
        <f ca="1">IF(G28&lt;TODAY(),"Encerrado","Vigente")</f>
        <v>Vigente</v>
      </c>
    </row>
    <row r="29" spans="1:8" ht="30" hidden="1">
      <c r="A29" s="140">
        <v>2024</v>
      </c>
      <c r="B29" s="140" t="s">
        <v>388</v>
      </c>
      <c r="C29" s="140" t="s">
        <v>35</v>
      </c>
      <c r="D29" s="140" t="s">
        <v>390</v>
      </c>
      <c r="E29" s="140" t="s">
        <v>607</v>
      </c>
      <c r="F29" s="140">
        <v>60</v>
      </c>
      <c r="G29" s="141">
        <v>47248</v>
      </c>
      <c r="H29" s="134" t="str">
        <f ca="1">IF(G29&lt;TODAY(),"Encerrado","Vigente")</f>
        <v>Vigente</v>
      </c>
    </row>
    <row r="30" spans="1:8" ht="60.75" hidden="1">
      <c r="A30" s="148">
        <v>2024</v>
      </c>
      <c r="B30" s="148" t="s">
        <v>393</v>
      </c>
      <c r="C30" s="143" t="s">
        <v>395</v>
      </c>
      <c r="D30" s="148" t="s">
        <v>396</v>
      </c>
      <c r="E30" s="148" t="s">
        <v>607</v>
      </c>
      <c r="F30" s="140">
        <v>60</v>
      </c>
      <c r="G30" s="141">
        <v>47274</v>
      </c>
      <c r="H30" s="134" t="str">
        <f ca="1">IF(G30&lt;TODAY(),"Encerrado","Vigente")</f>
        <v>Vigente</v>
      </c>
    </row>
    <row r="31" spans="1:8" ht="30.75" hidden="1">
      <c r="A31" s="148">
        <v>2024</v>
      </c>
      <c r="B31" s="140" t="s">
        <v>399</v>
      </c>
      <c r="C31" s="150" t="s">
        <v>401</v>
      </c>
      <c r="D31" s="140" t="s">
        <v>402</v>
      </c>
      <c r="E31" s="140" t="s">
        <v>607</v>
      </c>
      <c r="F31" s="140">
        <v>36</v>
      </c>
      <c r="G31" s="136">
        <v>46471</v>
      </c>
      <c r="H31" s="134" t="str">
        <f ca="1">IF(G31&lt;TODAY(),"Encerrado","Vigente")</f>
        <v>Vigente</v>
      </c>
    </row>
    <row r="32" spans="1:8" ht="30.75" hidden="1">
      <c r="A32" s="148">
        <v>2024</v>
      </c>
      <c r="B32" s="140" t="s">
        <v>404</v>
      </c>
      <c r="C32" s="143" t="s">
        <v>406</v>
      </c>
      <c r="D32" s="140" t="s">
        <v>407</v>
      </c>
      <c r="E32" s="140" t="s">
        <v>601</v>
      </c>
      <c r="F32" s="140">
        <v>36</v>
      </c>
      <c r="G32" s="147">
        <v>46613</v>
      </c>
      <c r="H32" s="134" t="str">
        <f ca="1">IF(G32&lt;TODAY(),"Encerrado","Vigente")</f>
        <v>Vigente</v>
      </c>
    </row>
    <row r="33" spans="1:8" ht="30.75" hidden="1">
      <c r="A33" s="148">
        <v>2024</v>
      </c>
      <c r="B33" s="140" t="s">
        <v>409</v>
      </c>
      <c r="C33" s="150" t="s">
        <v>411</v>
      </c>
      <c r="D33" s="212" t="s">
        <v>412</v>
      </c>
      <c r="E33" s="212" t="s">
        <v>601</v>
      </c>
      <c r="F33" s="138">
        <v>24</v>
      </c>
      <c r="G33" s="147">
        <v>46201</v>
      </c>
      <c r="H33" s="134" t="str">
        <f ca="1">IF(G33&lt;TODAY(),"Encerrado","Vigente")</f>
        <v>Vigente</v>
      </c>
    </row>
    <row r="34" spans="1:8" ht="30.75" hidden="1">
      <c r="A34" s="148">
        <v>2024</v>
      </c>
      <c r="B34" s="140" t="s">
        <v>414</v>
      </c>
      <c r="C34" s="150" t="s">
        <v>411</v>
      </c>
      <c r="D34" s="140" t="s">
        <v>415</v>
      </c>
      <c r="E34" s="140" t="s">
        <v>601</v>
      </c>
      <c r="F34" s="138">
        <v>24</v>
      </c>
      <c r="G34" s="147">
        <v>46263</v>
      </c>
      <c r="H34" s="134" t="str">
        <f ca="1">IF(G34&lt;TODAY(),"Encerrado","Vigente")</f>
        <v>Vigente</v>
      </c>
    </row>
    <row r="35" spans="1:8" ht="30" hidden="1">
      <c r="A35" s="148">
        <v>2024</v>
      </c>
      <c r="B35" s="140" t="s">
        <v>416</v>
      </c>
      <c r="C35" s="150" t="s">
        <v>418</v>
      </c>
      <c r="D35" s="140" t="s">
        <v>419</v>
      </c>
      <c r="E35" s="140" t="s">
        <v>601</v>
      </c>
      <c r="F35" s="140">
        <v>60</v>
      </c>
      <c r="G35" s="147">
        <v>47412</v>
      </c>
      <c r="H35" s="134" t="str">
        <f ca="1">IF(G35&lt;TODAY(),"Encerrado","Vigente")</f>
        <v>Vigente</v>
      </c>
    </row>
    <row r="36" spans="1:8" ht="30" hidden="1">
      <c r="A36" s="148">
        <v>2024</v>
      </c>
      <c r="B36" s="140" t="s">
        <v>421</v>
      </c>
      <c r="C36" s="150" t="s">
        <v>423</v>
      </c>
      <c r="D36" s="140" t="s">
        <v>424</v>
      </c>
      <c r="E36" s="140" t="s">
        <v>607</v>
      </c>
      <c r="F36" s="140">
        <v>30</v>
      </c>
      <c r="G36" s="147">
        <v>46507</v>
      </c>
      <c r="H36" s="134" t="str">
        <f ca="1">IF(G36&lt;TODAY(),"Encerrado","Vigente")</f>
        <v>Vigente</v>
      </c>
    </row>
    <row r="37" spans="1:8" ht="30" hidden="1">
      <c r="A37" s="148">
        <v>2024</v>
      </c>
      <c r="B37" s="140" t="s">
        <v>426</v>
      </c>
      <c r="C37" s="150" t="s">
        <v>423</v>
      </c>
      <c r="D37" s="140" t="s">
        <v>429</v>
      </c>
      <c r="E37" s="140" t="s">
        <v>607</v>
      </c>
      <c r="F37" s="140">
        <v>12</v>
      </c>
      <c r="G37" s="147">
        <v>46333</v>
      </c>
      <c r="H37" s="134" t="str">
        <f ca="1">IF(G37&lt;TODAY(),"Encerrado","Vigente")</f>
        <v>Vigente</v>
      </c>
    </row>
    <row r="38" spans="1:8" ht="45.75" hidden="1">
      <c r="A38" s="148">
        <v>2024</v>
      </c>
      <c r="B38" s="130" t="s">
        <v>432</v>
      </c>
      <c r="C38" s="153" t="s">
        <v>434</v>
      </c>
      <c r="D38" s="130" t="s">
        <v>435</v>
      </c>
      <c r="E38" s="130" t="s">
        <v>607</v>
      </c>
      <c r="F38" s="140">
        <v>12</v>
      </c>
      <c r="G38" s="147">
        <v>45973</v>
      </c>
      <c r="H38" s="134" t="str">
        <f ca="1">IF(G38&lt;TODAY(),"Encerrado","Vigente")</f>
        <v>Encerrado</v>
      </c>
    </row>
    <row r="39" spans="1:8" ht="30.75" hidden="1">
      <c r="A39" s="148">
        <v>2024</v>
      </c>
      <c r="B39" s="130" t="s">
        <v>437</v>
      </c>
      <c r="C39" s="153" t="s">
        <v>439</v>
      </c>
      <c r="D39" s="212" t="s">
        <v>440</v>
      </c>
      <c r="E39" s="212" t="s">
        <v>607</v>
      </c>
      <c r="F39" s="140">
        <v>12</v>
      </c>
      <c r="G39" s="147">
        <v>45986</v>
      </c>
      <c r="H39" s="134" t="str">
        <f ca="1">IF(G39&lt;TODAY(),"Encerrado","Vigente")</f>
        <v>Encerrado</v>
      </c>
    </row>
    <row r="40" spans="1:8" ht="30.75" hidden="1">
      <c r="A40" s="148">
        <v>2024</v>
      </c>
      <c r="B40" s="130" t="s">
        <v>442</v>
      </c>
      <c r="C40" s="153" t="s">
        <v>444</v>
      </c>
      <c r="D40" s="140" t="s">
        <v>445</v>
      </c>
      <c r="E40" s="140" t="s">
        <v>601</v>
      </c>
      <c r="F40" s="140">
        <v>60</v>
      </c>
      <c r="G40" s="147">
        <v>47455</v>
      </c>
      <c r="H40" s="134" t="str">
        <f ca="1">IF(G40&lt;TODAY(),"Encerrado","Vigente")</f>
        <v>Vigente</v>
      </c>
    </row>
    <row r="41" spans="1:8" ht="30" hidden="1">
      <c r="A41" s="148">
        <v>2024</v>
      </c>
      <c r="B41" s="130" t="s">
        <v>447</v>
      </c>
      <c r="C41" s="153" t="s">
        <v>449</v>
      </c>
      <c r="D41" s="130" t="s">
        <v>450</v>
      </c>
      <c r="E41" s="130" t="s">
        <v>607</v>
      </c>
      <c r="F41" s="140">
        <v>60</v>
      </c>
      <c r="G41" s="147">
        <v>47462</v>
      </c>
      <c r="H41" s="134" t="str">
        <f ca="1">IF(G41&lt;TODAY(),"Encerrado","Vigente")</f>
        <v>Vigente</v>
      </c>
    </row>
    <row r="42" spans="1:8" ht="30.75" hidden="1">
      <c r="A42" s="148">
        <v>2024</v>
      </c>
      <c r="B42" s="130" t="s">
        <v>452</v>
      </c>
      <c r="C42" s="153" t="s">
        <v>283</v>
      </c>
      <c r="D42" s="130" t="s">
        <v>454</v>
      </c>
      <c r="E42" s="130" t="s">
        <v>607</v>
      </c>
      <c r="F42" s="140">
        <v>12</v>
      </c>
      <c r="G42" s="147">
        <v>45655</v>
      </c>
      <c r="H42" s="134" t="str">
        <f ca="1">IF(G42&lt;TODAY(),"Encerrado","Vigente")</f>
        <v>Encerrado</v>
      </c>
    </row>
    <row r="43" spans="1:8" ht="30" hidden="1">
      <c r="A43" s="140">
        <v>2025</v>
      </c>
      <c r="B43" s="140" t="s">
        <v>608</v>
      </c>
      <c r="C43" s="140" t="s">
        <v>462</v>
      </c>
      <c r="D43" s="140" t="s">
        <v>463</v>
      </c>
      <c r="E43" s="140" t="s">
        <v>607</v>
      </c>
      <c r="F43" s="140">
        <v>12</v>
      </c>
      <c r="G43" s="141">
        <v>46437</v>
      </c>
      <c r="H43" s="134" t="str">
        <f ca="1">IF(G43&lt;TODAY(),"Encerrado","Vigente")</f>
        <v>Vigente</v>
      </c>
    </row>
    <row r="44" spans="1:8" ht="45.75" hidden="1">
      <c r="A44" s="140">
        <v>2025</v>
      </c>
      <c r="B44" s="148" t="s">
        <v>609</v>
      </c>
      <c r="C44" s="236" t="s">
        <v>524</v>
      </c>
      <c r="D44" s="148" t="s">
        <v>525</v>
      </c>
      <c r="E44" s="148" t="s">
        <v>601</v>
      </c>
      <c r="F44" s="148">
        <v>60</v>
      </c>
      <c r="G44" s="240">
        <v>47642</v>
      </c>
      <c r="H44" s="134" t="str">
        <f ca="1">IF(G44&lt;TODAY(),"Encerrado","Vigente")</f>
        <v>Vigente</v>
      </c>
    </row>
    <row r="45" spans="1:8" ht="30" hidden="1">
      <c r="A45" s="140">
        <v>2025</v>
      </c>
      <c r="B45" s="140" t="s">
        <v>610</v>
      </c>
      <c r="C45" s="150" t="s">
        <v>518</v>
      </c>
      <c r="D45" s="140" t="s">
        <v>519</v>
      </c>
      <c r="E45" s="140" t="s">
        <v>607</v>
      </c>
      <c r="F45" s="140">
        <v>60</v>
      </c>
      <c r="G45" s="136">
        <v>47637</v>
      </c>
      <c r="H45" s="134" t="str">
        <f ca="1">IF(G45&lt;TODAY(),"Encerrado","Vigente")</f>
        <v>Vigente</v>
      </c>
    </row>
    <row r="46" spans="1:8" ht="30" hidden="1">
      <c r="A46" s="140">
        <v>2025</v>
      </c>
      <c r="B46" s="265" t="s">
        <v>611</v>
      </c>
      <c r="C46" s="234" t="s">
        <v>423</v>
      </c>
      <c r="D46" s="266" t="s">
        <v>531</v>
      </c>
      <c r="E46" s="225" t="s">
        <v>607</v>
      </c>
      <c r="F46" s="225">
        <v>60</v>
      </c>
      <c r="G46" s="223">
        <v>47681</v>
      </c>
      <c r="H46" s="134" t="str">
        <f ca="1">IF(G46&lt;TODAY(),"Encerrado","Vigente")</f>
        <v>Vigente</v>
      </c>
    </row>
    <row r="47" spans="1:8" ht="30" hidden="1">
      <c r="A47" s="140">
        <v>2025</v>
      </c>
      <c r="B47" s="140" t="s">
        <v>612</v>
      </c>
      <c r="C47" s="150" t="s">
        <v>289</v>
      </c>
      <c r="D47" s="140" t="s">
        <v>513</v>
      </c>
      <c r="E47" s="140" t="s">
        <v>607</v>
      </c>
      <c r="F47" s="140">
        <v>36</v>
      </c>
      <c r="G47" s="262">
        <v>46972</v>
      </c>
      <c r="H47" s="134" t="str">
        <f ca="1">IF(G47&lt;TODAY(),"Encerrado","Vigente")</f>
        <v>Vigente</v>
      </c>
    </row>
    <row r="48" spans="1:8" ht="30.75" hidden="1">
      <c r="A48" s="140">
        <v>2025</v>
      </c>
      <c r="B48" s="148" t="s">
        <v>613</v>
      </c>
      <c r="C48" s="143" t="s">
        <v>469</v>
      </c>
      <c r="D48" s="148" t="s">
        <v>470</v>
      </c>
      <c r="E48" s="148" t="s">
        <v>607</v>
      </c>
      <c r="F48" s="140">
        <v>12</v>
      </c>
      <c r="G48" s="147">
        <v>46269</v>
      </c>
      <c r="H48" s="134" t="str">
        <f ca="1">IF(G48&lt;TODAY(),"Encerrado","Vigente")</f>
        <v>Vigente</v>
      </c>
    </row>
    <row r="49" spans="1:8" ht="45.75" hidden="1">
      <c r="A49" s="140">
        <v>2025</v>
      </c>
      <c r="B49" s="221" t="s">
        <v>614</v>
      </c>
      <c r="C49" s="222" t="s">
        <v>535</v>
      </c>
      <c r="D49" s="225" t="s">
        <v>536</v>
      </c>
      <c r="E49" s="225" t="s">
        <v>601</v>
      </c>
      <c r="F49" s="225">
        <v>60</v>
      </c>
      <c r="G49" s="223">
        <v>47734</v>
      </c>
      <c r="H49" s="134" t="str">
        <f ca="1">IF(G49&lt;TODAY(),"Encerrado","Vigente")</f>
        <v>Vigente</v>
      </c>
    </row>
    <row r="50" spans="1:8" ht="91.5" hidden="1">
      <c r="A50" s="140">
        <v>2025</v>
      </c>
      <c r="B50" s="131" t="s">
        <v>615</v>
      </c>
      <c r="C50" s="215" t="s">
        <v>497</v>
      </c>
      <c r="D50" s="264" t="s">
        <v>498</v>
      </c>
      <c r="E50" s="140" t="s">
        <v>607</v>
      </c>
      <c r="F50" s="140">
        <v>24</v>
      </c>
      <c r="G50" s="147">
        <v>46638</v>
      </c>
      <c r="H50" s="134" t="str">
        <f ca="1">IF(G50&lt;TODAY(),"Encerrado","Vigente")</f>
        <v>Vigente</v>
      </c>
    </row>
    <row r="51" spans="1:8" ht="30.75" hidden="1">
      <c r="A51" s="140">
        <v>2025</v>
      </c>
      <c r="B51" s="225" t="s">
        <v>616</v>
      </c>
      <c r="C51" s="256" t="s">
        <v>406</v>
      </c>
      <c r="D51" s="217" t="s">
        <v>407</v>
      </c>
      <c r="E51" s="217" t="s">
        <v>601</v>
      </c>
      <c r="F51" s="217">
        <v>60</v>
      </c>
      <c r="G51" s="216">
        <v>47740</v>
      </c>
      <c r="H51" s="134" t="str">
        <f ca="1">IF(G51&lt;TODAY(),"Encerrado","Vigente")</f>
        <v>Vigente</v>
      </c>
    </row>
    <row r="52" spans="1:8" ht="30.75" hidden="1">
      <c r="A52" s="140">
        <v>2025</v>
      </c>
      <c r="B52" s="225" t="s">
        <v>617</v>
      </c>
      <c r="C52" s="234" t="s">
        <v>618</v>
      </c>
      <c r="D52" s="217" t="s">
        <v>619</v>
      </c>
      <c r="E52" s="217" t="s">
        <v>607</v>
      </c>
      <c r="F52" s="217">
        <v>60</v>
      </c>
      <c r="G52" s="263">
        <v>47972</v>
      </c>
      <c r="H52" s="134" t="str">
        <f ca="1">IF(G52&lt;TODAY(),"Encerrado","Vigente")</f>
        <v>Vigente</v>
      </c>
    </row>
    <row r="53" spans="1:8" ht="45.75" hidden="1">
      <c r="A53" s="140">
        <v>2025</v>
      </c>
      <c r="B53" s="221" t="s">
        <v>620</v>
      </c>
      <c r="C53" s="215" t="s">
        <v>542</v>
      </c>
      <c r="D53" s="214" t="s">
        <v>543</v>
      </c>
      <c r="E53" s="214" t="s">
        <v>607</v>
      </c>
      <c r="F53" s="217">
        <v>60</v>
      </c>
      <c r="G53" s="227">
        <v>47765</v>
      </c>
      <c r="H53" s="134" t="str">
        <f ca="1">IF(G53&lt;TODAY(),"Encerrado","Vigente")</f>
        <v>Vigente</v>
      </c>
    </row>
    <row r="54" spans="1:8" ht="30" hidden="1">
      <c r="A54" s="140">
        <v>2025</v>
      </c>
      <c r="B54" s="221" t="s">
        <v>621</v>
      </c>
      <c r="C54" s="215" t="s">
        <v>622</v>
      </c>
      <c r="D54" s="214" t="s">
        <v>623</v>
      </c>
      <c r="E54" s="214" t="s">
        <v>607</v>
      </c>
      <c r="F54" s="217">
        <v>60</v>
      </c>
      <c r="G54" s="263">
        <v>47972</v>
      </c>
      <c r="H54" s="134" t="str">
        <f ca="1">IF(G54&lt;TODAY(),"Encerrado","Vigente")</f>
        <v>Vigente</v>
      </c>
    </row>
    <row r="55" spans="1:8" ht="45.75" hidden="1">
      <c r="A55" s="140">
        <v>2025</v>
      </c>
      <c r="B55" s="214" t="s">
        <v>624</v>
      </c>
      <c r="C55" s="215" t="s">
        <v>542</v>
      </c>
      <c r="D55" s="214" t="s">
        <v>547</v>
      </c>
      <c r="E55" s="214" t="s">
        <v>607</v>
      </c>
      <c r="F55" s="217">
        <v>60</v>
      </c>
      <c r="G55" s="227">
        <v>47765</v>
      </c>
      <c r="H55" s="134" t="str">
        <f ca="1">IF(G55&lt;TODAY(),"Encerrado","Vigente")</f>
        <v>Vigente</v>
      </c>
    </row>
    <row r="56" spans="1:8" ht="30.75" hidden="1">
      <c r="A56" s="140">
        <v>2025</v>
      </c>
      <c r="B56" s="140" t="s">
        <v>625</v>
      </c>
      <c r="C56" s="150" t="s">
        <v>474</v>
      </c>
      <c r="D56" s="140" t="s">
        <v>475</v>
      </c>
      <c r="E56" s="140" t="s">
        <v>601</v>
      </c>
      <c r="F56" s="140">
        <v>60</v>
      </c>
      <c r="G56" s="147">
        <v>47896</v>
      </c>
      <c r="H56" s="134" t="str">
        <f ca="1">IF(G56&lt;TODAY(),"Encerrado","Vigente")</f>
        <v>Vigente</v>
      </c>
    </row>
    <row r="57" spans="1:8" ht="30" hidden="1">
      <c r="A57" s="140">
        <v>2025</v>
      </c>
      <c r="B57" s="130" t="s">
        <v>626</v>
      </c>
      <c r="C57" s="153" t="s">
        <v>503</v>
      </c>
      <c r="D57" s="135" t="s">
        <v>504</v>
      </c>
      <c r="E57" s="214" t="s">
        <v>607</v>
      </c>
      <c r="F57" s="261">
        <v>24</v>
      </c>
      <c r="G57" s="144">
        <v>46722</v>
      </c>
      <c r="H57" s="134" t="str">
        <f ca="1">IF(G57&lt;TODAY(),"Encerrado","Vigente")</f>
        <v>Vigente</v>
      </c>
    </row>
    <row r="58" spans="1:8" ht="60.75" hidden="1">
      <c r="A58" s="140">
        <v>2025</v>
      </c>
      <c r="B58" s="130" t="s">
        <v>627</v>
      </c>
      <c r="C58" s="153" t="s">
        <v>507</v>
      </c>
      <c r="D58" s="130" t="s">
        <v>508</v>
      </c>
      <c r="E58" s="251" t="s">
        <v>601</v>
      </c>
      <c r="F58" s="140">
        <v>24</v>
      </c>
      <c r="G58" s="144">
        <v>46735</v>
      </c>
      <c r="H58" s="134" t="str">
        <f ca="1">IF(G58&lt;TODAY(),"Encerrado","Vigente")</f>
        <v>Vigente</v>
      </c>
    </row>
    <row r="59" spans="1:8" ht="45.75" hidden="1">
      <c r="A59" s="140">
        <v>2025</v>
      </c>
      <c r="B59" s="242" t="s">
        <v>628</v>
      </c>
      <c r="C59" s="215" t="s">
        <v>180</v>
      </c>
      <c r="D59" s="214" t="s">
        <v>550</v>
      </c>
      <c r="E59" s="214" t="s">
        <v>601</v>
      </c>
      <c r="F59" s="217">
        <v>60</v>
      </c>
      <c r="G59" s="227">
        <v>47847</v>
      </c>
      <c r="H59" s="134" t="str">
        <f ca="1">IF(G59&lt;TODAY(),"Encerrado","Vigente")</f>
        <v>Vigente</v>
      </c>
    </row>
    <row r="60" spans="1:8" ht="30">
      <c r="A60" s="221">
        <v>2026</v>
      </c>
      <c r="B60" s="221" t="s">
        <v>629</v>
      </c>
      <c r="C60" s="222" t="s">
        <v>136</v>
      </c>
      <c r="D60" s="221" t="s">
        <v>561</v>
      </c>
      <c r="E60" s="221" t="s">
        <v>601</v>
      </c>
      <c r="F60" s="225">
        <v>12</v>
      </c>
      <c r="G60" s="219">
        <v>46447</v>
      </c>
      <c r="H60" s="134" t="str">
        <f ca="1">IF(G60&lt;TODAY(),"Encerrado","Vigente")</f>
        <v>Vigente</v>
      </c>
    </row>
    <row r="61" spans="1:8" ht="30.75">
      <c r="A61" s="221">
        <v>2026</v>
      </c>
      <c r="B61" s="214" t="s">
        <v>630</v>
      </c>
      <c r="C61" s="215" t="s">
        <v>564</v>
      </c>
      <c r="D61" s="214" t="s">
        <v>565</v>
      </c>
      <c r="E61" s="221" t="s">
        <v>601</v>
      </c>
      <c r="F61" s="217">
        <v>12</v>
      </c>
      <c r="G61" s="219">
        <v>46447</v>
      </c>
      <c r="H61" s="134" t="str">
        <f ca="1">IF(G61&lt;TODAY(),"Encerrado","Vigente")</f>
        <v>Vigente</v>
      </c>
    </row>
    <row r="62" spans="1:8" ht="30">
      <c r="A62" s="221">
        <v>2026</v>
      </c>
      <c r="B62" s="221" t="s">
        <v>631</v>
      </c>
      <c r="C62" s="222" t="s">
        <v>567</v>
      </c>
      <c r="D62" s="214" t="s">
        <v>568</v>
      </c>
      <c r="E62" s="221" t="s">
        <v>601</v>
      </c>
      <c r="F62" s="225">
        <v>12</v>
      </c>
      <c r="G62" s="219">
        <v>46448</v>
      </c>
      <c r="H62" s="134" t="str">
        <f ca="1">IF(G62&lt;TODAY(),"Encerrado","Vigente")</f>
        <v>Vigente</v>
      </c>
    </row>
    <row r="63" spans="1:8" ht="30.75">
      <c r="A63" s="221">
        <v>2026</v>
      </c>
      <c r="B63" s="221" t="s">
        <v>632</v>
      </c>
      <c r="C63" s="222" t="s">
        <v>571</v>
      </c>
      <c r="D63" s="221" t="s">
        <v>572</v>
      </c>
      <c r="E63" s="221" t="s">
        <v>601</v>
      </c>
      <c r="F63" s="225">
        <v>60</v>
      </c>
      <c r="G63" s="224">
        <v>47910</v>
      </c>
      <c r="H63" s="134" t="str">
        <f ca="1">IF(G63&lt;TODAY(),"Encerrado","Vigente")</f>
        <v>Vigente</v>
      </c>
    </row>
    <row r="64" spans="1:8" ht="30">
      <c r="A64" s="221">
        <v>2026</v>
      </c>
      <c r="B64" s="221" t="s">
        <v>633</v>
      </c>
      <c r="C64" s="222" t="s">
        <v>577</v>
      </c>
      <c r="D64" s="221" t="s">
        <v>578</v>
      </c>
      <c r="E64" s="221" t="s">
        <v>607</v>
      </c>
      <c r="F64" s="225">
        <v>12</v>
      </c>
      <c r="G64" s="246">
        <v>46463</v>
      </c>
      <c r="H64" s="134" t="str">
        <f ca="1">IF(G64&lt;TODAY(),"Encerrado","Vigente")</f>
        <v>Vigente</v>
      </c>
    </row>
    <row r="65" spans="1:8" ht="45.75">
      <c r="A65" s="221">
        <v>2026</v>
      </c>
      <c r="B65" s="214" t="s">
        <v>634</v>
      </c>
      <c r="C65" s="215" t="s">
        <v>581</v>
      </c>
      <c r="D65" s="214" t="s">
        <v>582</v>
      </c>
      <c r="E65" s="214" t="s">
        <v>601</v>
      </c>
      <c r="F65" s="217">
        <v>36</v>
      </c>
      <c r="G65" s="219">
        <v>47193</v>
      </c>
      <c r="H65" s="134" t="str">
        <f ca="1">IF(G65&lt;TODAY(),"Encerrado","Vigente")</f>
        <v>Vigente</v>
      </c>
    </row>
    <row r="66" spans="1:8" ht="45.75">
      <c r="A66" s="214">
        <v>2026</v>
      </c>
      <c r="B66" s="228" t="s">
        <v>635</v>
      </c>
      <c r="C66" s="215" t="s">
        <v>586</v>
      </c>
      <c r="D66" s="214" t="s">
        <v>587</v>
      </c>
      <c r="E66" s="214" t="s">
        <v>607</v>
      </c>
      <c r="F66" s="217">
        <v>12</v>
      </c>
      <c r="G66" s="219">
        <v>46532</v>
      </c>
      <c r="H66" s="134" t="str">
        <f ca="1">IF(G66&lt;TODAY(),"Encerrado","Vigente")</f>
        <v>Vigente</v>
      </c>
    </row>
    <row r="67" spans="1:8" ht="30">
      <c r="A67" s="214">
        <v>2026</v>
      </c>
      <c r="B67" s="228" t="s">
        <v>636</v>
      </c>
      <c r="C67" s="215" t="s">
        <v>593</v>
      </c>
      <c r="D67" s="214" t="s">
        <v>594</v>
      </c>
      <c r="E67" s="214" t="s">
        <v>607</v>
      </c>
      <c r="F67" s="217">
        <v>12</v>
      </c>
      <c r="G67" s="219">
        <v>46483</v>
      </c>
      <c r="H67" s="134" t="str">
        <f ca="1">IF(G67&lt;TODAY(),"Encerrado","Vigente")</f>
        <v>Vigente</v>
      </c>
    </row>
    <row r="68" spans="1:8" ht="30">
      <c r="A68" s="214">
        <v>2026</v>
      </c>
      <c r="B68" s="228" t="s">
        <v>637</v>
      </c>
      <c r="C68" s="215" t="s">
        <v>418</v>
      </c>
      <c r="D68" s="214" t="s">
        <v>638</v>
      </c>
      <c r="E68" s="214" t="s">
        <v>601</v>
      </c>
      <c r="F68" s="217">
        <v>60</v>
      </c>
      <c r="G68" s="219">
        <v>47952</v>
      </c>
      <c r="H68" s="134" t="str">
        <f ca="1">IF(G68&lt;TODAY(),"Encerrado","Vigente")</f>
        <v>Vigente</v>
      </c>
    </row>
  </sheetData>
  <autoFilter ref="A3:H68" xr:uid="{4F6F00E6-D867-4994-BC86-28AA25F163FE}">
    <filterColumn colId="0">
      <filters>
        <filter val="2026"/>
      </filters>
    </filterColumn>
    <sortState xmlns:xlrd2="http://schemas.microsoft.com/office/spreadsheetml/2017/richdata2" ref="A4:H67">
      <sortCondition ref="B3:B67"/>
    </sortState>
  </autoFilter>
  <mergeCells count="1">
    <mergeCell ref="A1:G2"/>
  </mergeCells>
  <conditionalFormatting sqref="H4:H68">
    <cfRule type="cellIs" dxfId="3" priority="13" operator="equal">
      <formula>"Vigente"</formula>
    </cfRule>
    <cfRule type="cellIs" dxfId="2" priority="14" operator="equal">
      <formula>"Encerrado"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43D0-B0EF-44C5-9AD4-1B7812534B36}">
  <sheetPr>
    <tabColor rgb="FF00B050"/>
  </sheetPr>
  <dimension ref="A1:F8"/>
  <sheetViews>
    <sheetView showGridLines="0" workbookViewId="0">
      <pane ySplit="3" topLeftCell="A4" activePane="bottomLeft" state="frozen"/>
      <selection pane="bottomLeft" sqref="A1:F3"/>
    </sheetView>
  </sheetViews>
  <sheetFormatPr defaultColWidth="0" defaultRowHeight="15"/>
  <cols>
    <col min="1" max="2" width="27.28515625" customWidth="1"/>
    <col min="3" max="3" width="47.85546875" customWidth="1"/>
    <col min="4" max="4" width="17.28515625" customWidth="1"/>
    <col min="5" max="5" width="19" customWidth="1"/>
    <col min="6" max="6" width="22" customWidth="1"/>
  </cols>
  <sheetData>
    <row r="1" spans="1:6" ht="32.25">
      <c r="A1" s="278" t="s">
        <v>639</v>
      </c>
      <c r="B1" s="278"/>
      <c r="C1" s="278"/>
      <c r="D1" s="278"/>
      <c r="E1" s="278"/>
      <c r="F1" s="247" t="s">
        <v>640</v>
      </c>
    </row>
    <row r="2" spans="1:6" ht="40.5" customHeight="1">
      <c r="A2" s="267"/>
      <c r="B2" s="267"/>
      <c r="C2" s="267"/>
      <c r="D2" s="267"/>
      <c r="E2" s="267"/>
      <c r="F2" s="248" cm="1">
        <f t="array" aca="1" ref="F2" ca="1">SUMPRODUCT(SUBTOTAL(103,OFFSET(F4,ROW(F4:G1000)-ROW(F4),0,1)),--(F4:F1000="Vigente"))</f>
        <v>5</v>
      </c>
    </row>
    <row r="3" spans="1:6" ht="34.5" customHeight="1">
      <c r="A3" s="249" t="s">
        <v>641</v>
      </c>
      <c r="B3" s="250" t="s">
        <v>3</v>
      </c>
      <c r="C3" s="250" t="s">
        <v>4</v>
      </c>
      <c r="D3" s="250" t="s">
        <v>7</v>
      </c>
      <c r="E3" s="250" t="s">
        <v>9</v>
      </c>
      <c r="F3" s="249" t="s">
        <v>10</v>
      </c>
    </row>
    <row r="4" spans="1:6" ht="84" customHeight="1">
      <c r="A4" s="255" t="s">
        <v>472</v>
      </c>
      <c r="B4" s="256" t="s">
        <v>474</v>
      </c>
      <c r="C4" s="255" t="s">
        <v>475</v>
      </c>
      <c r="D4" s="255">
        <v>12</v>
      </c>
      <c r="E4" s="257">
        <v>46288</v>
      </c>
      <c r="F4" s="258" t="str">
        <f ca="1">IF(E4&lt;TODAY(),"Encerrado","Vigente")</f>
        <v>Vigente</v>
      </c>
    </row>
    <row r="5" spans="1:6" ht="84" customHeight="1">
      <c r="A5" s="214" t="s">
        <v>479</v>
      </c>
      <c r="B5" s="215" t="s">
        <v>481</v>
      </c>
      <c r="C5" s="214" t="s">
        <v>482</v>
      </c>
      <c r="D5" s="217">
        <v>12</v>
      </c>
      <c r="E5" s="219">
        <v>46310</v>
      </c>
      <c r="F5" s="218" t="str">
        <f t="shared" ref="F5:F8" ca="1" si="0">IF(E5&lt;TODAY(),"Encerrado","Vigente")</f>
        <v>Vigente</v>
      </c>
    </row>
    <row r="6" spans="1:6" ht="84" customHeight="1">
      <c r="A6" s="214" t="s">
        <v>485</v>
      </c>
      <c r="B6" s="215" t="s">
        <v>487</v>
      </c>
      <c r="C6" s="214" t="s">
        <v>488</v>
      </c>
      <c r="D6" s="217">
        <v>12</v>
      </c>
      <c r="E6" s="219">
        <v>46318</v>
      </c>
      <c r="F6" s="218" t="str">
        <f t="shared" ca="1" si="0"/>
        <v>Vigente</v>
      </c>
    </row>
    <row r="7" spans="1:6" ht="84" customHeight="1">
      <c r="A7" s="214" t="s">
        <v>490</v>
      </c>
      <c r="B7" s="215" t="s">
        <v>492</v>
      </c>
      <c r="C7" s="214" t="s">
        <v>493</v>
      </c>
      <c r="D7" s="217">
        <v>12</v>
      </c>
      <c r="E7" s="219">
        <v>46333</v>
      </c>
      <c r="F7" s="218" t="str">
        <f t="shared" ca="1" si="0"/>
        <v>Vigente</v>
      </c>
    </row>
    <row r="8" spans="1:6" ht="84" customHeight="1">
      <c r="A8" s="214" t="s">
        <v>554</v>
      </c>
      <c r="B8" s="215" t="s">
        <v>556</v>
      </c>
      <c r="C8" s="214" t="s">
        <v>557</v>
      </c>
      <c r="D8" s="217">
        <v>12</v>
      </c>
      <c r="E8" s="219">
        <v>46391</v>
      </c>
      <c r="F8" s="218" t="str">
        <f t="shared" ca="1" si="0"/>
        <v>Vigente</v>
      </c>
    </row>
  </sheetData>
  <autoFilter ref="A3:F8" xr:uid="{BBC543D0-B0EF-44C5-9AD4-1B7812534B36}"/>
  <mergeCells count="1">
    <mergeCell ref="A1:E2"/>
  </mergeCells>
  <conditionalFormatting sqref="F4:F8">
    <cfRule type="cellIs" dxfId="1" priority="3" operator="equal">
      <formula>"Encerrado"</formula>
    </cfRule>
    <cfRule type="cellIs" dxfId="0" priority="4" operator="equal">
      <formula>"Vigente"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61"/>
  <sheetViews>
    <sheetView zoomScale="90" zoomScaleNormal="90" workbookViewId="0">
      <pane ySplit="2" topLeftCell="B32" activePane="bottomLeft" state="frozen"/>
      <selection pane="bottomLeft" activeCell="B32" sqref="B32:B34"/>
    </sheetView>
  </sheetViews>
  <sheetFormatPr defaultRowHeight="15"/>
  <cols>
    <col min="1" max="1" width="3.42578125" customWidth="1"/>
    <col min="2" max="2" width="27.42578125" customWidth="1"/>
    <col min="3" max="3" width="43.28515625" customWidth="1"/>
    <col min="4" max="5" width="18.42578125" customWidth="1"/>
    <col min="6" max="6" width="50.7109375" customWidth="1"/>
    <col min="7" max="7" width="15" customWidth="1"/>
    <col min="8" max="8" width="44.42578125" customWidth="1"/>
    <col min="9" max="9" width="13.42578125" bestFit="1" customWidth="1"/>
    <col min="10" max="10" width="29.85546875" customWidth="1"/>
    <col min="11" max="11" width="11.85546875" bestFit="1" customWidth="1"/>
  </cols>
  <sheetData>
    <row r="1" spans="2:11" ht="87" customHeight="1" thickBot="1">
      <c r="B1" s="333" t="s">
        <v>642</v>
      </c>
      <c r="C1" s="334"/>
      <c r="D1" s="334"/>
      <c r="E1" s="334"/>
      <c r="F1" s="334"/>
      <c r="G1" s="334"/>
      <c r="H1" s="334"/>
      <c r="I1" s="334"/>
      <c r="J1" s="335"/>
    </row>
    <row r="2" spans="2:11" ht="42.75" customHeight="1" thickBot="1">
      <c r="B2" s="48" t="s">
        <v>2</v>
      </c>
      <c r="C2" s="49" t="s">
        <v>643</v>
      </c>
      <c r="D2" s="49" t="s">
        <v>644</v>
      </c>
      <c r="E2" s="50" t="s">
        <v>645</v>
      </c>
      <c r="F2" s="50" t="s">
        <v>646</v>
      </c>
      <c r="G2" s="49" t="s">
        <v>647</v>
      </c>
      <c r="H2" s="50" t="s">
        <v>648</v>
      </c>
      <c r="I2" s="51" t="s">
        <v>647</v>
      </c>
      <c r="J2" s="6" t="s">
        <v>649</v>
      </c>
    </row>
    <row r="3" spans="2:11" ht="50.1" customHeight="1">
      <c r="B3" s="327" t="s">
        <v>650</v>
      </c>
      <c r="C3" s="324" t="s">
        <v>651</v>
      </c>
      <c r="D3" s="321" t="s">
        <v>652</v>
      </c>
      <c r="E3" s="5" t="s">
        <v>653</v>
      </c>
      <c r="F3" s="16" t="s">
        <v>654</v>
      </c>
      <c r="G3" s="9" t="s">
        <v>655</v>
      </c>
      <c r="H3" s="14" t="s">
        <v>656</v>
      </c>
      <c r="I3" s="40" t="s">
        <v>657</v>
      </c>
      <c r="J3" s="291" t="s">
        <v>658</v>
      </c>
    </row>
    <row r="4" spans="2:11" ht="50.1" customHeight="1">
      <c r="B4" s="328"/>
      <c r="C4" s="325"/>
      <c r="D4" s="322"/>
      <c r="E4" s="1" t="s">
        <v>659</v>
      </c>
      <c r="F4" s="17" t="s">
        <v>660</v>
      </c>
      <c r="G4" s="10" t="s">
        <v>661</v>
      </c>
      <c r="H4" s="15" t="s">
        <v>662</v>
      </c>
      <c r="I4" s="41" t="s">
        <v>663</v>
      </c>
      <c r="J4" s="292"/>
    </row>
    <row r="5" spans="2:11" ht="50.1" customHeight="1" thickBot="1">
      <c r="B5" s="329"/>
      <c r="C5" s="326"/>
      <c r="D5" s="323"/>
      <c r="E5" s="4" t="s">
        <v>664</v>
      </c>
      <c r="F5" s="18" t="s">
        <v>665</v>
      </c>
      <c r="G5" s="13" t="s">
        <v>666</v>
      </c>
      <c r="H5" s="22" t="s">
        <v>667</v>
      </c>
      <c r="I5" s="43" t="s">
        <v>666</v>
      </c>
      <c r="J5" s="293"/>
    </row>
    <row r="6" spans="2:11" ht="50.1" customHeight="1">
      <c r="B6" s="327" t="s">
        <v>668</v>
      </c>
      <c r="C6" s="324" t="s">
        <v>669</v>
      </c>
      <c r="D6" s="315" t="s">
        <v>670</v>
      </c>
      <c r="E6" s="5" t="s">
        <v>653</v>
      </c>
      <c r="F6" s="19" t="s">
        <v>671</v>
      </c>
      <c r="G6" s="9" t="s">
        <v>672</v>
      </c>
      <c r="H6" s="14" t="s">
        <v>38</v>
      </c>
      <c r="I6" s="40" t="s">
        <v>38</v>
      </c>
      <c r="J6" s="307" t="s">
        <v>673</v>
      </c>
    </row>
    <row r="7" spans="2:11" ht="50.1" customHeight="1">
      <c r="B7" s="328"/>
      <c r="C7" s="325"/>
      <c r="D7" s="316"/>
      <c r="E7" s="1" t="s">
        <v>659</v>
      </c>
      <c r="F7" s="20" t="s">
        <v>674</v>
      </c>
      <c r="G7" s="10" t="s">
        <v>675</v>
      </c>
      <c r="H7" s="20" t="s">
        <v>676</v>
      </c>
      <c r="I7" s="41" t="s">
        <v>661</v>
      </c>
      <c r="J7" s="305"/>
    </row>
    <row r="8" spans="2:11" ht="50.1" customHeight="1" thickBot="1">
      <c r="B8" s="329"/>
      <c r="C8" s="326"/>
      <c r="D8" s="317"/>
      <c r="E8" s="4" t="s">
        <v>664</v>
      </c>
      <c r="F8" s="126" t="s">
        <v>677</v>
      </c>
      <c r="G8" s="125" t="s">
        <v>666</v>
      </c>
      <c r="H8" s="127" t="s">
        <v>678</v>
      </c>
      <c r="I8" s="42" t="s">
        <v>679</v>
      </c>
      <c r="J8" s="308"/>
    </row>
    <row r="9" spans="2:11" ht="50.1" customHeight="1">
      <c r="B9" s="327" t="s">
        <v>680</v>
      </c>
      <c r="C9" s="324" t="s">
        <v>681</v>
      </c>
      <c r="D9" s="315" t="s">
        <v>682</v>
      </c>
      <c r="E9" s="5" t="s">
        <v>653</v>
      </c>
      <c r="F9" s="19" t="s">
        <v>683</v>
      </c>
      <c r="G9" s="9" t="s">
        <v>684</v>
      </c>
      <c r="H9" s="14" t="s">
        <v>685</v>
      </c>
      <c r="I9" s="40" t="s">
        <v>686</v>
      </c>
      <c r="J9" s="294" t="s">
        <v>687</v>
      </c>
    </row>
    <row r="10" spans="2:11" ht="50.1" customHeight="1">
      <c r="B10" s="328"/>
      <c r="C10" s="325"/>
      <c r="D10" s="316"/>
      <c r="E10" s="1" t="s">
        <v>659</v>
      </c>
      <c r="F10" s="20" t="s">
        <v>688</v>
      </c>
      <c r="G10" s="20" t="s">
        <v>684</v>
      </c>
      <c r="H10" s="15" t="s">
        <v>689</v>
      </c>
      <c r="I10" s="41" t="s">
        <v>686</v>
      </c>
      <c r="J10" s="295"/>
    </row>
    <row r="11" spans="2:11" ht="50.1" customHeight="1" thickBot="1">
      <c r="B11" s="329"/>
      <c r="C11" s="326"/>
      <c r="D11" s="317"/>
      <c r="E11" s="4" t="s">
        <v>664</v>
      </c>
      <c r="F11" s="21" t="s">
        <v>690</v>
      </c>
      <c r="G11" s="13" t="s">
        <v>666</v>
      </c>
      <c r="H11" s="22" t="s">
        <v>667</v>
      </c>
      <c r="I11" s="43" t="s">
        <v>666</v>
      </c>
      <c r="J11" s="296"/>
    </row>
    <row r="12" spans="2:11" ht="50.1" customHeight="1">
      <c r="B12" s="327" t="s">
        <v>691</v>
      </c>
      <c r="C12" s="330" t="s">
        <v>692</v>
      </c>
      <c r="D12" s="315" t="s">
        <v>693</v>
      </c>
      <c r="E12" s="5" t="s">
        <v>653</v>
      </c>
      <c r="F12" s="24" t="s">
        <v>683</v>
      </c>
      <c r="G12" s="11" t="s">
        <v>684</v>
      </c>
      <c r="H12" s="14" t="s">
        <v>685</v>
      </c>
      <c r="I12" s="40" t="s">
        <v>686</v>
      </c>
      <c r="J12" s="304" t="s">
        <v>694</v>
      </c>
      <c r="K12" s="2"/>
    </row>
    <row r="13" spans="2:11" ht="50.1" customHeight="1">
      <c r="B13" s="328"/>
      <c r="C13" s="331"/>
      <c r="D13" s="316"/>
      <c r="E13" s="1" t="s">
        <v>659</v>
      </c>
      <c r="F13" s="25" t="s">
        <v>695</v>
      </c>
      <c r="G13" s="20" t="s">
        <v>38</v>
      </c>
      <c r="H13" s="20" t="s">
        <v>38</v>
      </c>
      <c r="I13" s="44" t="s">
        <v>38</v>
      </c>
      <c r="J13" s="305"/>
    </row>
    <row r="14" spans="2:11" ht="50.1" customHeight="1" thickBot="1">
      <c r="B14" s="329"/>
      <c r="C14" s="332"/>
      <c r="D14" s="317"/>
      <c r="E14" s="4" t="s">
        <v>664</v>
      </c>
      <c r="F14" s="18" t="s">
        <v>665</v>
      </c>
      <c r="G14" s="13" t="s">
        <v>666</v>
      </c>
      <c r="H14" s="57" t="s">
        <v>696</v>
      </c>
      <c r="I14" s="42" t="s">
        <v>679</v>
      </c>
      <c r="J14" s="308"/>
      <c r="K14" s="3"/>
    </row>
    <row r="15" spans="2:11" ht="50.1" customHeight="1">
      <c r="B15" s="327" t="s">
        <v>697</v>
      </c>
      <c r="C15" s="324" t="s">
        <v>698</v>
      </c>
      <c r="D15" s="315" t="s">
        <v>699</v>
      </c>
      <c r="E15" s="5" t="s">
        <v>653</v>
      </c>
      <c r="F15" s="24" t="s">
        <v>700</v>
      </c>
      <c r="G15" s="24" t="s">
        <v>701</v>
      </c>
      <c r="H15" s="24" t="s">
        <v>38</v>
      </c>
      <c r="I15" s="19" t="s">
        <v>38</v>
      </c>
      <c r="J15" s="309" t="s">
        <v>702</v>
      </c>
      <c r="K15" s="3"/>
    </row>
    <row r="16" spans="2:11" ht="50.1" customHeight="1">
      <c r="B16" s="328"/>
      <c r="C16" s="325"/>
      <c r="D16" s="316"/>
      <c r="E16" s="1" t="s">
        <v>659</v>
      </c>
      <c r="F16" s="39" t="s">
        <v>703</v>
      </c>
      <c r="G16" s="39" t="s">
        <v>704</v>
      </c>
      <c r="H16" s="39" t="s">
        <v>676</v>
      </c>
      <c r="I16" s="20" t="s">
        <v>661</v>
      </c>
      <c r="J16" s="310"/>
    </row>
    <row r="17" spans="2:10" ht="50.1" customHeight="1" thickBot="1">
      <c r="B17" s="329"/>
      <c r="C17" s="326"/>
      <c r="D17" s="317"/>
      <c r="E17" s="4" t="s">
        <v>664</v>
      </c>
      <c r="F17" s="59" t="s">
        <v>678</v>
      </c>
      <c r="G17" s="109" t="s">
        <v>679</v>
      </c>
      <c r="H17" s="12" t="s">
        <v>677</v>
      </c>
      <c r="I17" s="13" t="s">
        <v>666</v>
      </c>
      <c r="J17" s="311"/>
    </row>
    <row r="18" spans="2:10" ht="50.1" customHeight="1">
      <c r="B18" s="318" t="s">
        <v>370</v>
      </c>
      <c r="C18" s="285" t="s">
        <v>705</v>
      </c>
      <c r="D18" s="321" t="s">
        <v>652</v>
      </c>
      <c r="E18" s="5" t="s">
        <v>653</v>
      </c>
      <c r="F18" s="16" t="s">
        <v>654</v>
      </c>
      <c r="G18" s="9" t="s">
        <v>655</v>
      </c>
      <c r="H18" s="14" t="s">
        <v>656</v>
      </c>
      <c r="I18" s="40" t="s">
        <v>657</v>
      </c>
      <c r="J18" s="291" t="s">
        <v>706</v>
      </c>
    </row>
    <row r="19" spans="2:10" ht="50.1" customHeight="1">
      <c r="B19" s="319"/>
      <c r="C19" s="286"/>
      <c r="D19" s="322"/>
      <c r="E19" s="1" t="s">
        <v>659</v>
      </c>
      <c r="F19" s="17" t="s">
        <v>660</v>
      </c>
      <c r="G19" s="10" t="s">
        <v>661</v>
      </c>
      <c r="H19" s="15" t="s">
        <v>662</v>
      </c>
      <c r="I19" s="41" t="s">
        <v>663</v>
      </c>
      <c r="J19" s="292"/>
    </row>
    <row r="20" spans="2:10" ht="50.1" customHeight="1" thickBot="1">
      <c r="B20" s="320"/>
      <c r="C20" s="287"/>
      <c r="D20" s="323"/>
      <c r="E20" s="4" t="s">
        <v>664</v>
      </c>
      <c r="F20" s="18" t="s">
        <v>665</v>
      </c>
      <c r="G20" s="13" t="s">
        <v>666</v>
      </c>
      <c r="H20" s="13" t="s">
        <v>667</v>
      </c>
      <c r="I20" s="43" t="s">
        <v>666</v>
      </c>
      <c r="J20" s="293"/>
    </row>
    <row r="21" spans="2:10" ht="50.1" customHeight="1">
      <c r="B21" s="318" t="s">
        <v>707</v>
      </c>
      <c r="C21" s="285" t="s">
        <v>708</v>
      </c>
      <c r="D21" s="321" t="s">
        <v>709</v>
      </c>
      <c r="E21" s="5" t="s">
        <v>653</v>
      </c>
      <c r="F21" s="16" t="s">
        <v>710</v>
      </c>
      <c r="G21" s="24" t="s">
        <v>711</v>
      </c>
      <c r="H21" s="14" t="s">
        <v>656</v>
      </c>
      <c r="I21" s="40" t="s">
        <v>657</v>
      </c>
      <c r="J21" s="291" t="s">
        <v>658</v>
      </c>
    </row>
    <row r="22" spans="2:10" ht="50.1" customHeight="1">
      <c r="B22" s="319"/>
      <c r="C22" s="286"/>
      <c r="D22" s="322"/>
      <c r="E22" s="1" t="s">
        <v>659</v>
      </c>
      <c r="F22" s="17" t="s">
        <v>660</v>
      </c>
      <c r="G22" s="10" t="s">
        <v>661</v>
      </c>
      <c r="H22" s="15" t="s">
        <v>662</v>
      </c>
      <c r="I22" s="41" t="s">
        <v>663</v>
      </c>
      <c r="J22" s="292"/>
    </row>
    <row r="23" spans="2:10" ht="50.1" customHeight="1" thickBot="1">
      <c r="B23" s="320"/>
      <c r="C23" s="287"/>
      <c r="D23" s="323"/>
      <c r="E23" s="4" t="s">
        <v>664</v>
      </c>
      <c r="F23" s="18" t="s">
        <v>665</v>
      </c>
      <c r="G23" s="13" t="s">
        <v>666</v>
      </c>
      <c r="H23" s="27" t="s">
        <v>696</v>
      </c>
      <c r="I23" s="42" t="s">
        <v>679</v>
      </c>
      <c r="J23" s="293"/>
    </row>
    <row r="24" spans="2:10" ht="50.1" customHeight="1">
      <c r="B24" s="318" t="s">
        <v>366</v>
      </c>
      <c r="C24" s="285" t="s">
        <v>712</v>
      </c>
      <c r="D24" s="321" t="s">
        <v>713</v>
      </c>
      <c r="E24" s="5" t="s">
        <v>653</v>
      </c>
      <c r="F24" s="16" t="s">
        <v>662</v>
      </c>
      <c r="G24" s="24" t="s">
        <v>663</v>
      </c>
      <c r="H24" s="14" t="s">
        <v>38</v>
      </c>
      <c r="I24" s="40" t="s">
        <v>38</v>
      </c>
      <c r="J24" s="291" t="s">
        <v>706</v>
      </c>
    </row>
    <row r="25" spans="2:10" ht="50.1" customHeight="1">
      <c r="B25" s="319"/>
      <c r="C25" s="286"/>
      <c r="D25" s="322"/>
      <c r="E25" s="1" t="s">
        <v>659</v>
      </c>
      <c r="F25" s="17" t="s">
        <v>660</v>
      </c>
      <c r="G25" s="10" t="s">
        <v>661</v>
      </c>
      <c r="H25" s="15" t="s">
        <v>662</v>
      </c>
      <c r="I25" s="41" t="s">
        <v>663</v>
      </c>
      <c r="J25" s="292"/>
    </row>
    <row r="26" spans="2:10" ht="50.1" customHeight="1" thickBot="1">
      <c r="B26" s="320"/>
      <c r="C26" s="287"/>
      <c r="D26" s="323"/>
      <c r="E26" s="4" t="s">
        <v>664</v>
      </c>
      <c r="F26" s="18" t="s">
        <v>665</v>
      </c>
      <c r="G26" s="13" t="s">
        <v>666</v>
      </c>
      <c r="H26" s="22" t="s">
        <v>667</v>
      </c>
      <c r="I26" s="43" t="s">
        <v>666</v>
      </c>
      <c r="J26" s="293"/>
    </row>
    <row r="27" spans="2:10" ht="50.1" customHeight="1">
      <c r="B27" s="312" t="s">
        <v>714</v>
      </c>
      <c r="C27" s="285" t="s">
        <v>715</v>
      </c>
      <c r="D27" s="315" t="s">
        <v>716</v>
      </c>
      <c r="E27" s="5" t="s">
        <v>653</v>
      </c>
      <c r="F27" s="24" t="s">
        <v>717</v>
      </c>
      <c r="G27" s="24" t="s">
        <v>718</v>
      </c>
      <c r="H27" s="24" t="s">
        <v>719</v>
      </c>
      <c r="I27" s="19" t="s">
        <v>720</v>
      </c>
      <c r="J27" s="291" t="s">
        <v>706</v>
      </c>
    </row>
    <row r="28" spans="2:10" ht="50.1" customHeight="1">
      <c r="B28" s="313"/>
      <c r="C28" s="286"/>
      <c r="D28" s="316"/>
      <c r="E28" s="1" t="s">
        <v>659</v>
      </c>
      <c r="F28" s="61" t="s">
        <v>721</v>
      </c>
      <c r="G28" s="31" t="s">
        <v>38</v>
      </c>
      <c r="H28" s="33" t="s">
        <v>722</v>
      </c>
      <c r="I28" s="45" t="s">
        <v>723</v>
      </c>
      <c r="J28" s="303"/>
    </row>
    <row r="29" spans="2:10" ht="50.1" customHeight="1">
      <c r="B29" s="313"/>
      <c r="C29" s="286"/>
      <c r="D29" s="316"/>
      <c r="E29" s="1" t="s">
        <v>659</v>
      </c>
      <c r="F29" s="17" t="s">
        <v>724</v>
      </c>
      <c r="G29" s="10" t="s">
        <v>725</v>
      </c>
      <c r="H29" s="28" t="s">
        <v>683</v>
      </c>
      <c r="I29" s="17" t="s">
        <v>684</v>
      </c>
      <c r="J29" s="303"/>
    </row>
    <row r="30" spans="2:10" ht="50.1" customHeight="1">
      <c r="B30" s="313"/>
      <c r="C30" s="286"/>
      <c r="D30" s="316"/>
      <c r="E30" s="1" t="s">
        <v>659</v>
      </c>
      <c r="F30" s="17" t="s">
        <v>688</v>
      </c>
      <c r="G30" s="32" t="s">
        <v>684</v>
      </c>
      <c r="H30" s="34" t="s">
        <v>38</v>
      </c>
      <c r="I30" s="46" t="s">
        <v>38</v>
      </c>
      <c r="J30" s="303"/>
    </row>
    <row r="31" spans="2:10" ht="50.1" customHeight="1" thickBot="1">
      <c r="B31" s="314"/>
      <c r="C31" s="287"/>
      <c r="D31" s="317"/>
      <c r="E31" s="4" t="s">
        <v>664</v>
      </c>
      <c r="F31" s="18" t="s">
        <v>665</v>
      </c>
      <c r="G31" s="7" t="s">
        <v>666</v>
      </c>
      <c r="H31" s="27" t="s">
        <v>726</v>
      </c>
      <c r="I31" s="13" t="s">
        <v>727</v>
      </c>
      <c r="J31" s="306"/>
    </row>
    <row r="32" spans="2:10" ht="50.1" customHeight="1">
      <c r="B32" s="282" t="s">
        <v>389</v>
      </c>
      <c r="C32" s="300" t="s">
        <v>728</v>
      </c>
      <c r="D32" s="288" t="s">
        <v>729</v>
      </c>
      <c r="E32" s="5" t="s">
        <v>653</v>
      </c>
      <c r="F32" s="24" t="s">
        <v>730</v>
      </c>
      <c r="G32" s="24" t="s">
        <v>731</v>
      </c>
      <c r="H32" s="24" t="s">
        <v>38</v>
      </c>
      <c r="I32" s="19" t="s">
        <v>38</v>
      </c>
      <c r="J32" s="291" t="s">
        <v>706</v>
      </c>
    </row>
    <row r="33" spans="2:10" ht="50.1" customHeight="1">
      <c r="B33" s="283"/>
      <c r="C33" s="301"/>
      <c r="D33" s="289"/>
      <c r="E33" s="1" t="s">
        <v>659</v>
      </c>
      <c r="F33" s="28" t="s">
        <v>732</v>
      </c>
      <c r="G33" s="8" t="s">
        <v>733</v>
      </c>
      <c r="H33" s="28" t="s">
        <v>38</v>
      </c>
      <c r="I33" s="20" t="s">
        <v>38</v>
      </c>
      <c r="J33" s="303"/>
    </row>
    <row r="34" spans="2:10" ht="50.1" customHeight="1" thickBot="1">
      <c r="B34" s="284"/>
      <c r="C34" s="302"/>
      <c r="D34" s="290"/>
      <c r="E34" s="4" t="s">
        <v>664</v>
      </c>
      <c r="F34" s="21" t="s">
        <v>677</v>
      </c>
      <c r="G34" s="30" t="s">
        <v>666</v>
      </c>
      <c r="H34" s="27" t="s">
        <v>678</v>
      </c>
      <c r="I34" s="42" t="s">
        <v>679</v>
      </c>
      <c r="J34" s="303"/>
    </row>
    <row r="35" spans="2:10" ht="50.1" customHeight="1">
      <c r="B35" s="282" t="s">
        <v>394</v>
      </c>
      <c r="C35" s="300" t="s">
        <v>734</v>
      </c>
      <c r="D35" s="288" t="s">
        <v>735</v>
      </c>
      <c r="E35" s="5" t="s">
        <v>653</v>
      </c>
      <c r="F35" s="24" t="s">
        <v>730</v>
      </c>
      <c r="G35" s="24" t="s">
        <v>731</v>
      </c>
      <c r="H35" s="24" t="s">
        <v>38</v>
      </c>
      <c r="I35" s="19" t="s">
        <v>38</v>
      </c>
      <c r="J35" s="291" t="s">
        <v>736</v>
      </c>
    </row>
    <row r="36" spans="2:10" ht="50.1" customHeight="1">
      <c r="B36" s="283"/>
      <c r="C36" s="301"/>
      <c r="D36" s="289"/>
      <c r="E36" s="1" t="s">
        <v>659</v>
      </c>
      <c r="F36" s="28" t="s">
        <v>732</v>
      </c>
      <c r="G36" s="8" t="s">
        <v>733</v>
      </c>
      <c r="H36" s="28" t="s">
        <v>38</v>
      </c>
      <c r="I36" s="20" t="s">
        <v>38</v>
      </c>
      <c r="J36" s="303"/>
    </row>
    <row r="37" spans="2:10" ht="50.1" customHeight="1" thickBot="1">
      <c r="B37" s="284"/>
      <c r="C37" s="302"/>
      <c r="D37" s="290"/>
      <c r="E37" s="4" t="s">
        <v>664</v>
      </c>
      <c r="F37" s="27" t="s">
        <v>677</v>
      </c>
      <c r="G37" s="12" t="s">
        <v>666</v>
      </c>
      <c r="H37" s="27" t="s">
        <v>678</v>
      </c>
      <c r="I37" s="13" t="s">
        <v>679</v>
      </c>
      <c r="J37" s="303"/>
    </row>
    <row r="38" spans="2:10" ht="50.1" customHeight="1">
      <c r="B38" s="282" t="s">
        <v>737</v>
      </c>
      <c r="C38" s="300" t="s">
        <v>738</v>
      </c>
      <c r="D38" s="288" t="s">
        <v>739</v>
      </c>
      <c r="E38" s="5" t="s">
        <v>653</v>
      </c>
      <c r="F38" s="24" t="s">
        <v>740</v>
      </c>
      <c r="G38" s="24" t="s">
        <v>741</v>
      </c>
      <c r="H38" s="24" t="s">
        <v>38</v>
      </c>
      <c r="I38" s="19" t="s">
        <v>38</v>
      </c>
      <c r="J38" s="297" t="s">
        <v>742</v>
      </c>
    </row>
    <row r="39" spans="2:10" ht="50.1" customHeight="1">
      <c r="B39" s="283"/>
      <c r="C39" s="301"/>
      <c r="D39" s="289"/>
      <c r="E39" s="1" t="s">
        <v>659</v>
      </c>
      <c r="F39" s="28" t="s">
        <v>688</v>
      </c>
      <c r="G39" s="28" t="s">
        <v>684</v>
      </c>
      <c r="H39" s="28" t="s">
        <v>689</v>
      </c>
      <c r="I39" s="20" t="s">
        <v>686</v>
      </c>
      <c r="J39" s="298"/>
    </row>
    <row r="40" spans="2:10" ht="50.1" customHeight="1" thickBot="1">
      <c r="B40" s="284"/>
      <c r="C40" s="302"/>
      <c r="D40" s="290"/>
      <c r="E40" s="4" t="s">
        <v>664</v>
      </c>
      <c r="F40" s="27" t="s">
        <v>665</v>
      </c>
      <c r="G40" s="27" t="s">
        <v>666</v>
      </c>
      <c r="H40" s="59" t="s">
        <v>667</v>
      </c>
      <c r="I40" s="47" t="s">
        <v>666</v>
      </c>
      <c r="J40" s="299"/>
    </row>
    <row r="41" spans="2:10" ht="50.1" customHeight="1">
      <c r="B41" s="282" t="s">
        <v>743</v>
      </c>
      <c r="C41" s="300" t="s">
        <v>744</v>
      </c>
      <c r="D41" s="288" t="s">
        <v>745</v>
      </c>
      <c r="E41" s="5" t="s">
        <v>653</v>
      </c>
      <c r="F41" s="35" t="s">
        <v>746</v>
      </c>
      <c r="G41" s="24" t="s">
        <v>38</v>
      </c>
      <c r="H41" s="24" t="s">
        <v>747</v>
      </c>
      <c r="I41" s="19" t="s">
        <v>748</v>
      </c>
      <c r="J41" s="304" t="s">
        <v>694</v>
      </c>
    </row>
    <row r="42" spans="2:10" ht="50.1" customHeight="1">
      <c r="B42" s="283"/>
      <c r="C42" s="301"/>
      <c r="D42" s="289"/>
      <c r="E42" s="1" t="s">
        <v>659</v>
      </c>
      <c r="F42" s="28" t="s">
        <v>747</v>
      </c>
      <c r="G42" s="28" t="s">
        <v>748</v>
      </c>
      <c r="H42" s="36" t="s">
        <v>746</v>
      </c>
      <c r="I42" s="20" t="s">
        <v>38</v>
      </c>
      <c r="J42" s="305"/>
    </row>
    <row r="43" spans="2:10" ht="50.1" customHeight="1" thickBot="1">
      <c r="B43" s="284"/>
      <c r="C43" s="302"/>
      <c r="D43" s="290"/>
      <c r="E43" s="4" t="s">
        <v>664</v>
      </c>
      <c r="F43" s="27" t="s">
        <v>665</v>
      </c>
      <c r="G43" s="27" t="s">
        <v>666</v>
      </c>
      <c r="H43" s="124" t="s">
        <v>667</v>
      </c>
      <c r="I43" s="47" t="s">
        <v>666</v>
      </c>
      <c r="J43" s="305"/>
    </row>
    <row r="44" spans="2:10" ht="50.1" customHeight="1">
      <c r="B44" s="282" t="s">
        <v>400</v>
      </c>
      <c r="C44" s="300" t="s">
        <v>749</v>
      </c>
      <c r="D44" s="288" t="s">
        <v>750</v>
      </c>
      <c r="E44" s="5" t="s">
        <v>653</v>
      </c>
      <c r="F44" s="24" t="s">
        <v>730</v>
      </c>
      <c r="G44" s="24" t="s">
        <v>110</v>
      </c>
      <c r="H44" s="24" t="s">
        <v>38</v>
      </c>
      <c r="I44" s="19" t="s">
        <v>38</v>
      </c>
      <c r="J44" s="291" t="s">
        <v>706</v>
      </c>
    </row>
    <row r="45" spans="2:10" ht="50.1" customHeight="1">
      <c r="B45" s="283"/>
      <c r="C45" s="301"/>
      <c r="D45" s="289"/>
      <c r="E45" s="1" t="s">
        <v>659</v>
      </c>
      <c r="F45" s="28" t="s">
        <v>747</v>
      </c>
      <c r="G45" s="28" t="s">
        <v>748</v>
      </c>
      <c r="H45" s="28" t="s">
        <v>730</v>
      </c>
      <c r="I45" s="20" t="s">
        <v>110</v>
      </c>
      <c r="J45" s="292"/>
    </row>
    <row r="46" spans="2:10" ht="50.1" customHeight="1" thickBot="1">
      <c r="B46" s="284"/>
      <c r="C46" s="302"/>
      <c r="D46" s="290"/>
      <c r="E46" s="4" t="s">
        <v>664</v>
      </c>
      <c r="F46" s="124" t="s">
        <v>678</v>
      </c>
      <c r="G46" s="128" t="s">
        <v>679</v>
      </c>
      <c r="H46" s="124" t="s">
        <v>677</v>
      </c>
      <c r="I46" s="13" t="s">
        <v>666</v>
      </c>
      <c r="J46" s="293"/>
    </row>
    <row r="47" spans="2:10" ht="50.1" customHeight="1">
      <c r="B47" s="282" t="s">
        <v>361</v>
      </c>
      <c r="C47" s="300" t="s">
        <v>751</v>
      </c>
      <c r="D47" s="288" t="s">
        <v>752</v>
      </c>
      <c r="E47" s="5" t="s">
        <v>653</v>
      </c>
      <c r="F47" s="24" t="s">
        <v>683</v>
      </c>
      <c r="G47" s="11" t="s">
        <v>684</v>
      </c>
      <c r="H47" s="24" t="s">
        <v>685</v>
      </c>
      <c r="I47" s="19" t="s">
        <v>686</v>
      </c>
      <c r="J47" s="291" t="s">
        <v>706</v>
      </c>
    </row>
    <row r="48" spans="2:10" ht="50.1" customHeight="1">
      <c r="B48" s="283"/>
      <c r="C48" s="301"/>
      <c r="D48" s="289"/>
      <c r="E48" s="1" t="s">
        <v>659</v>
      </c>
      <c r="F48" s="28" t="s">
        <v>730</v>
      </c>
      <c r="G48" s="28" t="s">
        <v>731</v>
      </c>
      <c r="H48" s="28" t="s">
        <v>38</v>
      </c>
      <c r="I48" s="20" t="s">
        <v>38</v>
      </c>
      <c r="J48" s="292"/>
    </row>
    <row r="49" spans="2:10" ht="50.1" customHeight="1" thickBot="1">
      <c r="B49" s="284"/>
      <c r="C49" s="302"/>
      <c r="D49" s="290"/>
      <c r="E49" s="4" t="s">
        <v>664</v>
      </c>
      <c r="F49" s="27" t="s">
        <v>726</v>
      </c>
      <c r="G49" s="12" t="s">
        <v>727</v>
      </c>
      <c r="H49" s="27" t="s">
        <v>677</v>
      </c>
      <c r="I49" s="13" t="s">
        <v>666</v>
      </c>
      <c r="J49" s="293"/>
    </row>
    <row r="50" spans="2:10" ht="50.1" customHeight="1">
      <c r="B50" s="282" t="s">
        <v>753</v>
      </c>
      <c r="C50" s="300" t="s">
        <v>754</v>
      </c>
      <c r="D50" s="288" t="s">
        <v>755</v>
      </c>
      <c r="E50" s="5" t="s">
        <v>653</v>
      </c>
      <c r="F50" s="24" t="s">
        <v>756</v>
      </c>
      <c r="G50" s="24" t="s">
        <v>152</v>
      </c>
      <c r="H50" s="24" t="s">
        <v>38</v>
      </c>
      <c r="I50" s="19" t="s">
        <v>38</v>
      </c>
      <c r="J50" s="294" t="s">
        <v>687</v>
      </c>
    </row>
    <row r="51" spans="2:10" ht="50.1" customHeight="1">
      <c r="B51" s="283"/>
      <c r="C51" s="301"/>
      <c r="D51" s="289"/>
      <c r="E51" s="1" t="s">
        <v>659</v>
      </c>
      <c r="F51" s="98" t="s">
        <v>662</v>
      </c>
      <c r="G51" s="98" t="s">
        <v>663</v>
      </c>
      <c r="H51" s="98" t="s">
        <v>660</v>
      </c>
      <c r="I51" s="123" t="s">
        <v>661</v>
      </c>
      <c r="J51" s="295"/>
    </row>
    <row r="52" spans="2:10" ht="50.1" customHeight="1" thickBot="1">
      <c r="B52" s="284"/>
      <c r="C52" s="302"/>
      <c r="D52" s="290"/>
      <c r="E52" s="4" t="s">
        <v>664</v>
      </c>
      <c r="F52" s="57" t="s">
        <v>678</v>
      </c>
      <c r="G52" s="12" t="s">
        <v>666</v>
      </c>
      <c r="H52" s="57" t="s">
        <v>677</v>
      </c>
      <c r="I52" s="13" t="s">
        <v>666</v>
      </c>
      <c r="J52" s="296"/>
    </row>
    <row r="53" spans="2:10" ht="50.1" customHeight="1">
      <c r="B53" s="282" t="s">
        <v>410</v>
      </c>
      <c r="C53" s="285" t="s">
        <v>757</v>
      </c>
      <c r="D53" s="288" t="s">
        <v>758</v>
      </c>
      <c r="E53" s="5" t="s">
        <v>653</v>
      </c>
      <c r="F53" s="24" t="s">
        <v>759</v>
      </c>
      <c r="G53" s="24" t="s">
        <v>760</v>
      </c>
      <c r="H53" s="24" t="s">
        <v>38</v>
      </c>
      <c r="I53" s="19" t="s">
        <v>38</v>
      </c>
      <c r="J53" s="291" t="s">
        <v>706</v>
      </c>
    </row>
    <row r="54" spans="2:10" ht="50.1" customHeight="1">
      <c r="B54" s="283"/>
      <c r="C54" s="286"/>
      <c r="D54" s="289"/>
      <c r="E54" s="1" t="s">
        <v>659</v>
      </c>
      <c r="F54" s="28" t="s">
        <v>674</v>
      </c>
      <c r="G54" s="8" t="s">
        <v>675</v>
      </c>
      <c r="H54" s="28" t="s">
        <v>676</v>
      </c>
      <c r="I54" s="20" t="s">
        <v>661</v>
      </c>
      <c r="J54" s="292"/>
    </row>
    <row r="55" spans="2:10" ht="50.1" customHeight="1" thickBot="1">
      <c r="B55" s="284"/>
      <c r="C55" s="287"/>
      <c r="D55" s="290"/>
      <c r="E55" s="4" t="s">
        <v>664</v>
      </c>
      <c r="F55" s="59" t="s">
        <v>761</v>
      </c>
      <c r="G55" s="12" t="s">
        <v>679</v>
      </c>
      <c r="H55" s="59" t="s">
        <v>762</v>
      </c>
      <c r="I55" s="13" t="s">
        <v>679</v>
      </c>
      <c r="J55" s="293"/>
    </row>
    <row r="56" spans="2:10" ht="50.1" customHeight="1">
      <c r="B56" s="282" t="s">
        <v>763</v>
      </c>
      <c r="C56" s="285" t="s">
        <v>764</v>
      </c>
      <c r="D56" s="288" t="s">
        <v>765</v>
      </c>
      <c r="E56" s="5" t="s">
        <v>653</v>
      </c>
      <c r="F56" s="24" t="s">
        <v>766</v>
      </c>
      <c r="G56" s="24" t="s">
        <v>661</v>
      </c>
      <c r="H56" s="24" t="s">
        <v>724</v>
      </c>
      <c r="I56" s="19" t="s">
        <v>725</v>
      </c>
      <c r="J56" s="297" t="s">
        <v>742</v>
      </c>
    </row>
    <row r="57" spans="2:10" ht="50.1" customHeight="1">
      <c r="B57" s="283"/>
      <c r="C57" s="286"/>
      <c r="D57" s="289"/>
      <c r="E57" s="1" t="s">
        <v>659</v>
      </c>
      <c r="F57" s="28" t="s">
        <v>676</v>
      </c>
      <c r="G57" s="28" t="s">
        <v>661</v>
      </c>
      <c r="H57" s="28" t="s">
        <v>660</v>
      </c>
      <c r="I57" s="10" t="s">
        <v>661</v>
      </c>
      <c r="J57" s="298"/>
    </row>
    <row r="58" spans="2:10" ht="50.1" customHeight="1" thickBot="1">
      <c r="B58" s="284"/>
      <c r="C58" s="287"/>
      <c r="D58" s="290"/>
      <c r="E58" s="4" t="s">
        <v>664</v>
      </c>
      <c r="F58" s="57" t="s">
        <v>677</v>
      </c>
      <c r="G58" s="12" t="s">
        <v>666</v>
      </c>
      <c r="H58" s="57" t="s">
        <v>678</v>
      </c>
      <c r="I58" s="13" t="s">
        <v>679</v>
      </c>
      <c r="J58" s="299"/>
    </row>
    <row r="59" spans="2:10" ht="50.1" customHeight="1">
      <c r="B59" s="282" t="s">
        <v>344</v>
      </c>
      <c r="C59" s="285" t="s">
        <v>767</v>
      </c>
      <c r="D59" s="288" t="s">
        <v>768</v>
      </c>
      <c r="E59" s="5" t="s">
        <v>653</v>
      </c>
      <c r="F59" s="24" t="s">
        <v>683</v>
      </c>
      <c r="G59" s="24"/>
      <c r="H59" s="24" t="s">
        <v>38</v>
      </c>
      <c r="I59" s="24" t="s">
        <v>38</v>
      </c>
      <c r="J59" s="279" t="s">
        <v>706</v>
      </c>
    </row>
    <row r="60" spans="2:10" ht="50.1" customHeight="1">
      <c r="B60" s="283"/>
      <c r="C60" s="286"/>
      <c r="D60" s="289"/>
      <c r="E60" s="1" t="s">
        <v>659</v>
      </c>
      <c r="F60" s="28" t="s">
        <v>662</v>
      </c>
      <c r="G60" s="28"/>
      <c r="H60" s="28" t="s">
        <v>689</v>
      </c>
      <c r="I60" s="28" t="s">
        <v>686</v>
      </c>
      <c r="J60" s="280"/>
    </row>
    <row r="61" spans="2:10" ht="50.1" customHeight="1" thickBot="1">
      <c r="B61" s="284"/>
      <c r="C61" s="287"/>
      <c r="D61" s="290"/>
      <c r="E61" s="4" t="s">
        <v>664</v>
      </c>
      <c r="F61" s="27" t="s">
        <v>665</v>
      </c>
      <c r="G61" s="27" t="s">
        <v>666</v>
      </c>
      <c r="H61" s="27" t="s">
        <v>726</v>
      </c>
      <c r="I61" s="12" t="s">
        <v>727</v>
      </c>
      <c r="J61" s="281"/>
    </row>
  </sheetData>
  <mergeCells count="77">
    <mergeCell ref="B1:J1"/>
    <mergeCell ref="B3:B5"/>
    <mergeCell ref="D3:D5"/>
    <mergeCell ref="C3:C5"/>
    <mergeCell ref="D6:D8"/>
    <mergeCell ref="B6:B8"/>
    <mergeCell ref="C6:C8"/>
    <mergeCell ref="D9:D11"/>
    <mergeCell ref="C9:C11"/>
    <mergeCell ref="B9:B11"/>
    <mergeCell ref="B12:B14"/>
    <mergeCell ref="C12:C14"/>
    <mergeCell ref="D12:D14"/>
    <mergeCell ref="C15:C17"/>
    <mergeCell ref="B15:B17"/>
    <mergeCell ref="D15:D17"/>
    <mergeCell ref="D18:D20"/>
    <mergeCell ref="C18:C20"/>
    <mergeCell ref="B18:B20"/>
    <mergeCell ref="B27:B31"/>
    <mergeCell ref="C27:C31"/>
    <mergeCell ref="D27:D31"/>
    <mergeCell ref="B21:B23"/>
    <mergeCell ref="C21:C23"/>
    <mergeCell ref="D21:D23"/>
    <mergeCell ref="B24:B26"/>
    <mergeCell ref="C24:C26"/>
    <mergeCell ref="D24:D26"/>
    <mergeCell ref="B32:B34"/>
    <mergeCell ref="C32:C34"/>
    <mergeCell ref="D32:D34"/>
    <mergeCell ref="B35:B37"/>
    <mergeCell ref="C35:C37"/>
    <mergeCell ref="D35:D37"/>
    <mergeCell ref="B38:B40"/>
    <mergeCell ref="C38:C40"/>
    <mergeCell ref="D38:D40"/>
    <mergeCell ref="B41:B43"/>
    <mergeCell ref="C41:C43"/>
    <mergeCell ref="D41:D43"/>
    <mergeCell ref="D53:D55"/>
    <mergeCell ref="B44:B46"/>
    <mergeCell ref="C44:C46"/>
    <mergeCell ref="D44:D46"/>
    <mergeCell ref="B47:B49"/>
    <mergeCell ref="C47:C49"/>
    <mergeCell ref="D47:D49"/>
    <mergeCell ref="J18:J20"/>
    <mergeCell ref="J21:J23"/>
    <mergeCell ref="J24:J26"/>
    <mergeCell ref="J27:J31"/>
    <mergeCell ref="J3:J5"/>
    <mergeCell ref="J6:J8"/>
    <mergeCell ref="J9:J11"/>
    <mergeCell ref="J12:J14"/>
    <mergeCell ref="J15:J17"/>
    <mergeCell ref="J32:J34"/>
    <mergeCell ref="J35:J37"/>
    <mergeCell ref="J38:J40"/>
    <mergeCell ref="J41:J43"/>
    <mergeCell ref="J44:J46"/>
    <mergeCell ref="J59:J61"/>
    <mergeCell ref="B59:B61"/>
    <mergeCell ref="C59:C61"/>
    <mergeCell ref="D59:D61"/>
    <mergeCell ref="J47:J49"/>
    <mergeCell ref="J50:J52"/>
    <mergeCell ref="J53:J55"/>
    <mergeCell ref="J56:J58"/>
    <mergeCell ref="B56:B58"/>
    <mergeCell ref="C56:C58"/>
    <mergeCell ref="D56:D58"/>
    <mergeCell ref="B50:B52"/>
    <mergeCell ref="C50:C52"/>
    <mergeCell ref="D50:D52"/>
    <mergeCell ref="B53:B55"/>
    <mergeCell ref="C53:C55"/>
  </mergeCells>
  <phoneticPr fontId="3" type="noConversion"/>
  <hyperlinks>
    <hyperlink ref="D3:D5" r:id="rId1" display="https://sei.cjf.jus.br/sei/controlador.php?acao=procedimento_trabalhar&amp;id_procedimento=440599&amp;id_documento=443744" xr:uid="{17F21094-B7D1-4EB4-B9AA-BAC32B154F88}"/>
    <hyperlink ref="D6:D8" r:id="rId2" display="https://sei.cjf.jus.br/sei/controlador.php?acao=procedimento_trabalhar&amp;id_procedimento=436732&amp;id_documento=517720" xr:uid="{713129EE-9051-49AA-909F-6228EE0B5C18}"/>
    <hyperlink ref="D9:D11" r:id="rId3" display="https://sei.cjf.jus.br/sei/controlador.php?acao=procedimento_trabalhar&amp;id_procedimento=473548&amp;id_documento=475099" xr:uid="{899229B1-D991-4522-BD1F-0E63CD51DAD6}"/>
    <hyperlink ref="D12:D14" r:id="rId4" display="https://sei.cjf.jus.br/sei/controlador.php?acao=procedimento_trabalhar&amp;id_procedimento=464459&amp;id_documento=469136" xr:uid="{007375C2-5130-426E-BF0A-9826DB3898BE}"/>
    <hyperlink ref="D15:D17" r:id="rId5" display="https://sei.cjf.jus.br/sei/controlador.php?acao=procedimento_trabalhar&amp;id_procedimento=438640&amp;id_documento=510105" xr:uid="{71B30810-823D-4EA8-B519-5F1F4DF719C2}"/>
    <hyperlink ref="D18:D20" r:id="rId6" display="https://sei.cjf.jus.br/sei/controlador.php?acao=procedimento_trabalhar&amp;id_procedimento=440599&amp;id_documento=443744" xr:uid="{8F3CD7AF-D6AD-44AE-B086-27FB861EAF4F}"/>
    <hyperlink ref="D21:D23" r:id="rId7" display="https://sei.cjf.jus.br/sei/controlador.php?acao=procedimento_trabalhar&amp;id_procedimento=442372&amp;id_documento=449302" xr:uid="{5E5A7F18-B61D-4533-B4E6-82B1D2A5C960}"/>
    <hyperlink ref="D24:D26" r:id="rId8" display="https://sei.cjf.jus.br/sei/controlador.php?acao=procedimento_trabalhar&amp;id_procedimento=473010&amp;id_documento=475959" xr:uid="{CCB97FFE-D9E2-4D97-B668-CACBDB35734B}"/>
    <hyperlink ref="D27:D31" r:id="rId9" display="https://sei.cjf.jus.br/sei/controlador.php?acao=procedimento_trabalhar&amp;id_procedimento=430816&amp;id_documento=434604" xr:uid="{C2B2B746-1029-44EF-97D0-734A6F47FD9F}"/>
    <hyperlink ref="D32:D34" r:id="rId10" display="https://sei.cjf.jus.br/sei/controlador.php?acao=procedimento_trabalhar&amp;id_procedimento=464462&amp;id_documento=517181" xr:uid="{E2674EF8-0C19-48FE-8362-5E20C548EA20}"/>
    <hyperlink ref="D35:D37" r:id="rId11" display="https://sei.cjf.jus.br/sei/controlador.php?acao=procedimento_trabalhar&amp;id_procedimento=464461&amp;id_documento=517205" xr:uid="{6ECE90C8-071B-4BA5-AF1B-EED1C5B04A46}"/>
    <hyperlink ref="D38:D40" r:id="rId12" display="https://sei.cjf.jus.br/sei/controlador.php?acao=procedimento_trabalhar&amp;id_procedimento=458872&amp;id_documento=465338" xr:uid="{725D7BB4-3EC2-4B00-92E0-B09CAA8577BF}"/>
    <hyperlink ref="D41:D43" r:id="rId13" display="https://sei.cjf.jus.br/sei/controlador.php?acao=procedimento_trabalhar&amp;id_procedimento=471564&amp;id_documento=472363" xr:uid="{A6B28B0C-7355-4F71-BB5A-9683E20228B5}"/>
    <hyperlink ref="D44:D46" r:id="rId14" display="https://sei.cjf.jus.br/sei/controlador.php?acao=procedimento_trabalhar&amp;id_procedimento=486496&amp;id_documento=562962" xr:uid="{712843FB-3F0E-43A0-9869-1184C7D3492C}"/>
    <hyperlink ref="D47:D49" r:id="rId15" display="https://sei.cjf.jus.br/sei/controlador.php?acao=procedimento_trabalhar&amp;id_procedimento=476561&amp;id_documento=493455" xr:uid="{CB5D712D-4932-43F4-AB75-C78075E52829}"/>
    <hyperlink ref="D50:D52" r:id="rId16" display="https://sei.cjf.jus.br/sei/controlador.php?acao=procedimento_trabalhar&amp;id_procedimento=496255&amp;id_documento=507812" xr:uid="{24713776-7D90-47A1-81AC-4C4002C40173}"/>
    <hyperlink ref="D53:D55" r:id="rId17" display="https://sei.cjf.jus.br/sei/controlador.php?acao=procedimento_trabalhar&amp;id_procedimento=492353&amp;id_documento=570937" xr:uid="{621F592B-99EA-4472-B406-0B6C38EA6595}"/>
    <hyperlink ref="D56:D58" r:id="rId18" display="https://sei.cjf.jus.br/sei/controlador.php?acao=procedimento_trabalhar&amp;id_procedimento=395995&amp;id_documento=552395" xr:uid="{F9EC6516-AFF4-40FE-8AED-EFE4B88DA8CC}"/>
    <hyperlink ref="D59" r:id="rId19" display="https://sei.cjf.jus.br/sei/controlador.php?acao=procedimento_trabalhar&amp;id_procedimento=415132&amp;id_documento=422622" xr:uid="{9265DB46-20BC-40CA-BC68-49B873527DFE}"/>
  </hyperlinks>
  <pageMargins left="0.25" right="0.25" top="0.75" bottom="0.75" header="0.3" footer="0.3"/>
  <pageSetup paperSize="9" scale="40" fitToWidth="0" orientation="landscape" r:id="rId2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C666-3B5A-4B71-BC94-D4E93F4DC62C}">
  <sheetPr>
    <pageSetUpPr fitToPage="1"/>
  </sheetPr>
  <dimension ref="B1:K56"/>
  <sheetViews>
    <sheetView zoomScale="90" zoomScaleNormal="90" workbookViewId="0">
      <pane ySplit="2" topLeftCell="A9" activePane="bottomLeft" state="frozen"/>
      <selection pane="bottomLeft" activeCell="A9" sqref="A9"/>
    </sheetView>
  </sheetViews>
  <sheetFormatPr defaultRowHeight="15"/>
  <cols>
    <col min="1" max="1" width="3.42578125" customWidth="1"/>
    <col min="2" max="2" width="27.42578125" customWidth="1"/>
    <col min="3" max="3" width="43.28515625" customWidth="1"/>
    <col min="4" max="4" width="22.85546875" customWidth="1"/>
    <col min="5" max="5" width="18.42578125" customWidth="1"/>
    <col min="6" max="6" width="50.7109375" customWidth="1"/>
    <col min="7" max="7" width="15" customWidth="1"/>
    <col min="8" max="8" width="44.42578125" customWidth="1"/>
    <col min="9" max="9" width="13.42578125" bestFit="1" customWidth="1"/>
    <col min="10" max="10" width="29.85546875" customWidth="1"/>
    <col min="11" max="11" width="11.85546875" bestFit="1" customWidth="1"/>
  </cols>
  <sheetData>
    <row r="1" spans="2:11" ht="87" customHeight="1" thickBot="1">
      <c r="B1" s="333" t="s">
        <v>642</v>
      </c>
      <c r="C1" s="334"/>
      <c r="D1" s="334"/>
      <c r="E1" s="334"/>
      <c r="F1" s="334"/>
      <c r="G1" s="334"/>
      <c r="H1" s="334"/>
      <c r="I1" s="334"/>
      <c r="J1" s="335"/>
    </row>
    <row r="2" spans="2:11" ht="42.75" customHeight="1" thickBot="1">
      <c r="B2" s="48" t="s">
        <v>2</v>
      </c>
      <c r="C2" s="49" t="s">
        <v>643</v>
      </c>
      <c r="D2" s="49" t="s">
        <v>644</v>
      </c>
      <c r="E2" s="50" t="s">
        <v>645</v>
      </c>
      <c r="F2" s="50" t="s">
        <v>646</v>
      </c>
      <c r="G2" s="49" t="s">
        <v>647</v>
      </c>
      <c r="H2" s="50" t="s">
        <v>648</v>
      </c>
      <c r="I2" s="51" t="s">
        <v>647</v>
      </c>
      <c r="J2" s="6" t="s">
        <v>649</v>
      </c>
    </row>
    <row r="3" spans="2:11" ht="50.1" customHeight="1">
      <c r="B3" s="282" t="s">
        <v>737</v>
      </c>
      <c r="C3" s="300" t="s">
        <v>738</v>
      </c>
      <c r="D3" s="288" t="s">
        <v>769</v>
      </c>
      <c r="E3" s="5" t="s">
        <v>653</v>
      </c>
      <c r="F3" s="24" t="s">
        <v>740</v>
      </c>
      <c r="G3" s="24" t="s">
        <v>741</v>
      </c>
      <c r="H3" s="24" t="s">
        <v>38</v>
      </c>
      <c r="I3" s="19" t="s">
        <v>38</v>
      </c>
      <c r="J3" s="297" t="s">
        <v>742</v>
      </c>
    </row>
    <row r="4" spans="2:11" ht="50.1" customHeight="1">
      <c r="B4" s="283"/>
      <c r="C4" s="301"/>
      <c r="D4" s="289"/>
      <c r="E4" s="1" t="s">
        <v>659</v>
      </c>
      <c r="F4" s="28" t="s">
        <v>688</v>
      </c>
      <c r="G4" s="28" t="s">
        <v>684</v>
      </c>
      <c r="H4" s="28" t="s">
        <v>689</v>
      </c>
      <c r="I4" s="20" t="s">
        <v>686</v>
      </c>
      <c r="J4" s="298"/>
    </row>
    <row r="5" spans="2:11" ht="50.1" customHeight="1" thickBot="1">
      <c r="B5" s="284"/>
      <c r="C5" s="302"/>
      <c r="D5" s="290"/>
      <c r="E5" s="4" t="s">
        <v>664</v>
      </c>
      <c r="F5" s="27" t="s">
        <v>665</v>
      </c>
      <c r="G5" s="27" t="s">
        <v>666</v>
      </c>
      <c r="H5" s="59" t="s">
        <v>770</v>
      </c>
      <c r="I5" s="47" t="s">
        <v>117</v>
      </c>
      <c r="J5" s="299"/>
    </row>
    <row r="6" spans="2:11" ht="50.1" customHeight="1">
      <c r="B6" s="327" t="s">
        <v>433</v>
      </c>
      <c r="C6" s="324" t="s">
        <v>771</v>
      </c>
      <c r="D6" s="315" t="s">
        <v>772</v>
      </c>
      <c r="E6" s="5" t="s">
        <v>653</v>
      </c>
      <c r="F6" s="19" t="s">
        <v>710</v>
      </c>
      <c r="G6" s="9" t="s">
        <v>163</v>
      </c>
      <c r="H6" s="14" t="s">
        <v>773</v>
      </c>
      <c r="I6" s="40" t="s">
        <v>163</v>
      </c>
      <c r="J6" s="297" t="s">
        <v>742</v>
      </c>
    </row>
    <row r="7" spans="2:11" ht="50.1" customHeight="1">
      <c r="B7" s="328"/>
      <c r="C7" s="325"/>
      <c r="D7" s="316"/>
      <c r="E7" s="1" t="s">
        <v>659</v>
      </c>
      <c r="F7" s="20" t="s">
        <v>774</v>
      </c>
      <c r="G7" s="10" t="s">
        <v>152</v>
      </c>
      <c r="H7" s="72" t="s">
        <v>775</v>
      </c>
      <c r="I7" s="41" t="s">
        <v>152</v>
      </c>
      <c r="J7" s="298"/>
    </row>
    <row r="8" spans="2:11" ht="50.1" customHeight="1">
      <c r="B8" s="329"/>
      <c r="C8" s="326"/>
      <c r="D8" s="317"/>
      <c r="E8" s="4" t="s">
        <v>664</v>
      </c>
      <c r="F8" s="60" t="s">
        <v>761</v>
      </c>
      <c r="G8" s="13" t="s">
        <v>117</v>
      </c>
      <c r="H8" s="73" t="s">
        <v>770</v>
      </c>
      <c r="I8" s="42" t="s">
        <v>117</v>
      </c>
      <c r="J8" s="299"/>
    </row>
    <row r="9" spans="2:11" ht="50.1" customHeight="1">
      <c r="B9" s="327" t="s">
        <v>776</v>
      </c>
      <c r="C9" s="324" t="s">
        <v>777</v>
      </c>
      <c r="D9" s="315" t="s">
        <v>778</v>
      </c>
      <c r="E9" s="5" t="s">
        <v>653</v>
      </c>
      <c r="F9" s="24" t="s">
        <v>654</v>
      </c>
      <c r="G9" s="11" t="s">
        <v>163</v>
      </c>
      <c r="H9" s="14" t="s">
        <v>773</v>
      </c>
      <c r="I9" s="40" t="s">
        <v>163</v>
      </c>
      <c r="J9" s="297" t="s">
        <v>742</v>
      </c>
      <c r="K9" s="2"/>
    </row>
    <row r="10" spans="2:11" ht="50.1" customHeight="1">
      <c r="B10" s="328"/>
      <c r="C10" s="325"/>
      <c r="D10" s="316"/>
      <c r="E10" s="1" t="s">
        <v>659</v>
      </c>
      <c r="F10" s="20" t="s">
        <v>774</v>
      </c>
      <c r="G10" s="20" t="s">
        <v>152</v>
      </c>
      <c r="H10" s="20" t="s">
        <v>779</v>
      </c>
      <c r="I10" s="44" t="s">
        <v>152</v>
      </c>
      <c r="J10" s="298"/>
    </row>
    <row r="11" spans="2:11" ht="50.1" customHeight="1" thickBot="1">
      <c r="B11" s="329"/>
      <c r="C11" s="326"/>
      <c r="D11" s="317"/>
      <c r="E11" s="4" t="s">
        <v>664</v>
      </c>
      <c r="F11" s="18" t="s">
        <v>761</v>
      </c>
      <c r="G11" s="13" t="s">
        <v>117</v>
      </c>
      <c r="H11" s="27" t="s">
        <v>780</v>
      </c>
      <c r="I11" s="42" t="s">
        <v>117</v>
      </c>
      <c r="J11" s="299"/>
      <c r="K11" s="3"/>
    </row>
    <row r="12" spans="2:11" ht="50.1" customHeight="1">
      <c r="B12" s="327" t="s">
        <v>781</v>
      </c>
      <c r="C12" s="324" t="s">
        <v>782</v>
      </c>
      <c r="D12" s="315" t="s">
        <v>783</v>
      </c>
      <c r="E12" s="5" t="s">
        <v>653</v>
      </c>
      <c r="F12" s="24" t="s">
        <v>662</v>
      </c>
      <c r="G12" s="24" t="s">
        <v>152</v>
      </c>
      <c r="H12" s="24" t="s">
        <v>784</v>
      </c>
      <c r="I12" s="19" t="s">
        <v>152</v>
      </c>
      <c r="J12" s="297" t="s">
        <v>742</v>
      </c>
      <c r="K12" s="3"/>
    </row>
    <row r="13" spans="2:11" ht="50.1" customHeight="1">
      <c r="B13" s="328"/>
      <c r="C13" s="325"/>
      <c r="D13" s="316"/>
      <c r="E13" s="1" t="s">
        <v>659</v>
      </c>
      <c r="F13" s="39" t="s">
        <v>662</v>
      </c>
      <c r="G13" s="39" t="s">
        <v>152</v>
      </c>
      <c r="H13" s="39" t="s">
        <v>785</v>
      </c>
      <c r="I13" s="20" t="s">
        <v>152</v>
      </c>
      <c r="J13" s="298"/>
    </row>
    <row r="14" spans="2:11" ht="50.1" customHeight="1" thickBot="1">
      <c r="B14" s="329"/>
      <c r="C14" s="326"/>
      <c r="D14" s="317"/>
      <c r="E14" s="4" t="s">
        <v>664</v>
      </c>
      <c r="F14" s="59" t="s">
        <v>761</v>
      </c>
      <c r="G14" s="109" t="s">
        <v>117</v>
      </c>
      <c r="H14" s="59" t="s">
        <v>770</v>
      </c>
      <c r="I14" s="13" t="s">
        <v>117</v>
      </c>
      <c r="J14" s="299"/>
    </row>
    <row r="15" spans="2:11" ht="50.1" customHeight="1">
      <c r="B15" s="318" t="s">
        <v>523</v>
      </c>
      <c r="C15" s="285" t="s">
        <v>786</v>
      </c>
      <c r="D15" s="321" t="s">
        <v>787</v>
      </c>
      <c r="E15" s="5" t="s">
        <v>653</v>
      </c>
      <c r="F15" s="16" t="s">
        <v>756</v>
      </c>
      <c r="G15" s="9" t="s">
        <v>152</v>
      </c>
      <c r="H15" s="14" t="s">
        <v>38</v>
      </c>
      <c r="I15" s="40" t="s">
        <v>38</v>
      </c>
      <c r="J15" s="297" t="s">
        <v>742</v>
      </c>
    </row>
    <row r="16" spans="2:11" ht="50.1" customHeight="1">
      <c r="B16" s="319"/>
      <c r="C16" s="286"/>
      <c r="D16" s="322"/>
      <c r="E16" s="1" t="s">
        <v>659</v>
      </c>
      <c r="F16" s="17" t="s">
        <v>774</v>
      </c>
      <c r="G16" s="10" t="s">
        <v>152</v>
      </c>
      <c r="H16" s="15" t="s">
        <v>779</v>
      </c>
      <c r="I16" s="41" t="s">
        <v>152</v>
      </c>
      <c r="J16" s="298"/>
    </row>
    <row r="17" spans="2:10" ht="50.1" customHeight="1" thickBot="1">
      <c r="B17" s="320"/>
      <c r="C17" s="287"/>
      <c r="D17" s="323"/>
      <c r="E17" s="4" t="s">
        <v>664</v>
      </c>
      <c r="F17" s="18" t="s">
        <v>761</v>
      </c>
      <c r="G17" s="13" t="s">
        <v>117</v>
      </c>
      <c r="H17" s="110" t="s">
        <v>770</v>
      </c>
      <c r="I17" s="43" t="s">
        <v>117</v>
      </c>
      <c r="J17" s="299"/>
    </row>
    <row r="18" spans="2:10" ht="50.1" customHeight="1">
      <c r="B18" s="318" t="s">
        <v>473</v>
      </c>
      <c r="C18" s="285" t="s">
        <v>788</v>
      </c>
      <c r="D18" s="321" t="s">
        <v>789</v>
      </c>
      <c r="E18" s="5" t="s">
        <v>653</v>
      </c>
      <c r="F18" s="24" t="s">
        <v>790</v>
      </c>
      <c r="G18" s="24" t="s">
        <v>152</v>
      </c>
      <c r="H18" s="24" t="s">
        <v>662</v>
      </c>
      <c r="I18" s="40" t="s">
        <v>117</v>
      </c>
      <c r="J18" s="297" t="s">
        <v>742</v>
      </c>
    </row>
    <row r="19" spans="2:10" ht="50.1" customHeight="1">
      <c r="B19" s="319"/>
      <c r="C19" s="286"/>
      <c r="D19" s="322"/>
      <c r="E19" s="1" t="s">
        <v>659</v>
      </c>
      <c r="F19" s="39" t="s">
        <v>732</v>
      </c>
      <c r="G19" s="39" t="s">
        <v>152</v>
      </c>
      <c r="H19" s="15" t="s">
        <v>747</v>
      </c>
      <c r="I19" s="41" t="s">
        <v>152</v>
      </c>
      <c r="J19" s="298"/>
    </row>
    <row r="20" spans="2:10" ht="50.1" customHeight="1" thickBot="1">
      <c r="B20" s="320"/>
      <c r="C20" s="287"/>
      <c r="D20" s="323"/>
      <c r="E20" s="4" t="s">
        <v>664</v>
      </c>
      <c r="F20" s="27" t="s">
        <v>780</v>
      </c>
      <c r="G20" s="13" t="s">
        <v>117</v>
      </c>
      <c r="H20" s="27" t="s">
        <v>791</v>
      </c>
      <c r="I20" s="42" t="s">
        <v>117</v>
      </c>
      <c r="J20" s="299"/>
    </row>
    <row r="21" spans="2:10" ht="50.1" customHeight="1">
      <c r="B21" s="318" t="s">
        <v>792</v>
      </c>
      <c r="C21" s="285" t="s">
        <v>793</v>
      </c>
      <c r="D21" s="321" t="s">
        <v>794</v>
      </c>
      <c r="E21" s="5" t="s">
        <v>653</v>
      </c>
      <c r="F21" s="16" t="s">
        <v>730</v>
      </c>
      <c r="G21" s="24" t="s">
        <v>152</v>
      </c>
      <c r="H21" s="24" t="s">
        <v>662</v>
      </c>
      <c r="I21" s="24" t="s">
        <v>152</v>
      </c>
      <c r="J21" s="297" t="s">
        <v>742</v>
      </c>
    </row>
    <row r="22" spans="2:10" ht="50.1" customHeight="1">
      <c r="B22" s="319"/>
      <c r="C22" s="286"/>
      <c r="D22" s="322"/>
      <c r="E22" s="1" t="s">
        <v>659</v>
      </c>
      <c r="F22" s="15" t="s">
        <v>747</v>
      </c>
      <c r="G22" s="41" t="s">
        <v>152</v>
      </c>
      <c r="H22" s="39" t="s">
        <v>732</v>
      </c>
      <c r="I22" s="39" t="s">
        <v>152</v>
      </c>
      <c r="J22" s="298"/>
    </row>
    <row r="23" spans="2:10" ht="50.1" customHeight="1" thickBot="1">
      <c r="B23" s="320"/>
      <c r="C23" s="287"/>
      <c r="D23" s="323"/>
      <c r="E23" s="4" t="s">
        <v>664</v>
      </c>
      <c r="F23" s="110" t="s">
        <v>770</v>
      </c>
      <c r="G23" s="43" t="s">
        <v>117</v>
      </c>
      <c r="H23" s="27" t="s">
        <v>780</v>
      </c>
      <c r="I23" s="42" t="s">
        <v>117</v>
      </c>
      <c r="J23" s="299"/>
    </row>
    <row r="24" spans="2:10" ht="50.1" customHeight="1">
      <c r="B24" s="312" t="s">
        <v>417</v>
      </c>
      <c r="C24" s="285" t="s">
        <v>795</v>
      </c>
      <c r="D24" s="315" t="s">
        <v>796</v>
      </c>
      <c r="E24" s="5" t="s">
        <v>653</v>
      </c>
      <c r="F24" s="24" t="s">
        <v>784</v>
      </c>
      <c r="G24" s="24" t="s">
        <v>152</v>
      </c>
      <c r="H24" s="24" t="s">
        <v>785</v>
      </c>
      <c r="I24" s="19" t="s">
        <v>152</v>
      </c>
      <c r="J24" s="297" t="s">
        <v>742</v>
      </c>
    </row>
    <row r="25" spans="2:10" ht="50.1" customHeight="1">
      <c r="B25" s="313"/>
      <c r="C25" s="286"/>
      <c r="D25" s="316"/>
      <c r="E25" s="1" t="s">
        <v>659</v>
      </c>
      <c r="F25" s="61" t="s">
        <v>785</v>
      </c>
      <c r="G25" s="31" t="s">
        <v>152</v>
      </c>
      <c r="H25" s="33" t="s">
        <v>797</v>
      </c>
      <c r="I25" s="45" t="s">
        <v>152</v>
      </c>
      <c r="J25" s="298"/>
    </row>
    <row r="26" spans="2:10" ht="50.1" customHeight="1" thickBot="1">
      <c r="B26" s="313"/>
      <c r="C26" s="286"/>
      <c r="D26" s="316"/>
      <c r="E26" s="4" t="s">
        <v>664</v>
      </c>
      <c r="F26" s="110" t="s">
        <v>761</v>
      </c>
      <c r="G26" s="110" t="s">
        <v>117</v>
      </c>
      <c r="H26" s="110" t="s">
        <v>780</v>
      </c>
      <c r="I26" s="42" t="s">
        <v>117</v>
      </c>
      <c r="J26" s="299"/>
    </row>
    <row r="27" spans="2:10" ht="50.1" customHeight="1">
      <c r="B27" s="282" t="s">
        <v>496</v>
      </c>
      <c r="C27" s="300" t="s">
        <v>798</v>
      </c>
      <c r="D27" s="288" t="s">
        <v>799</v>
      </c>
      <c r="E27" s="5" t="s">
        <v>653</v>
      </c>
      <c r="F27" s="24" t="s">
        <v>662</v>
      </c>
      <c r="G27" s="24" t="s">
        <v>152</v>
      </c>
      <c r="H27" s="24" t="s">
        <v>784</v>
      </c>
      <c r="I27" s="19" t="s">
        <v>152</v>
      </c>
      <c r="J27" s="297" t="s">
        <v>742</v>
      </c>
    </row>
    <row r="28" spans="2:10" ht="50.1" customHeight="1">
      <c r="B28" s="283"/>
      <c r="C28" s="301"/>
      <c r="D28" s="289"/>
      <c r="E28" s="1" t="s">
        <v>659</v>
      </c>
      <c r="F28" s="28" t="s">
        <v>732</v>
      </c>
      <c r="G28" s="8" t="s">
        <v>152</v>
      </c>
      <c r="H28" s="28" t="s">
        <v>785</v>
      </c>
      <c r="I28" s="20" t="s">
        <v>152</v>
      </c>
      <c r="J28" s="298"/>
    </row>
    <row r="29" spans="2:10" ht="50.1" customHeight="1" thickBot="1">
      <c r="B29" s="284"/>
      <c r="C29" s="302"/>
      <c r="D29" s="290"/>
      <c r="E29" s="4" t="s">
        <v>664</v>
      </c>
      <c r="F29" s="21" t="s">
        <v>665</v>
      </c>
      <c r="G29" s="13" t="s">
        <v>117</v>
      </c>
      <c r="H29" s="27" t="s">
        <v>780</v>
      </c>
      <c r="I29" s="42" t="s">
        <v>117</v>
      </c>
      <c r="J29" s="299"/>
    </row>
    <row r="30" spans="2:10" ht="50.1" customHeight="1">
      <c r="B30" s="282" t="s">
        <v>800</v>
      </c>
      <c r="C30" s="300" t="s">
        <v>801</v>
      </c>
      <c r="D30" s="288" t="s">
        <v>802</v>
      </c>
      <c r="E30" s="5" t="s">
        <v>653</v>
      </c>
      <c r="F30" s="24" t="s">
        <v>784</v>
      </c>
      <c r="G30" s="24" t="s">
        <v>152</v>
      </c>
      <c r="H30" s="24" t="s">
        <v>785</v>
      </c>
      <c r="I30" s="19" t="s">
        <v>152</v>
      </c>
      <c r="J30" s="297" t="s">
        <v>742</v>
      </c>
    </row>
    <row r="31" spans="2:10" ht="50.1" customHeight="1">
      <c r="B31" s="283"/>
      <c r="C31" s="301"/>
      <c r="D31" s="289"/>
      <c r="E31" s="1" t="s">
        <v>659</v>
      </c>
      <c r="F31" s="61" t="s">
        <v>785</v>
      </c>
      <c r="G31" s="31" t="s">
        <v>152</v>
      </c>
      <c r="H31" s="33" t="s">
        <v>797</v>
      </c>
      <c r="I31" s="45" t="s">
        <v>152</v>
      </c>
      <c r="J31" s="298"/>
    </row>
    <row r="32" spans="2:10" ht="50.1" customHeight="1" thickBot="1">
      <c r="B32" s="284"/>
      <c r="C32" s="302"/>
      <c r="D32" s="290"/>
      <c r="E32" s="4" t="s">
        <v>664</v>
      </c>
      <c r="F32" s="110" t="s">
        <v>761</v>
      </c>
      <c r="G32" s="110" t="s">
        <v>117</v>
      </c>
      <c r="H32" s="110" t="s">
        <v>780</v>
      </c>
      <c r="I32" s="42" t="s">
        <v>117</v>
      </c>
      <c r="J32" s="299"/>
    </row>
    <row r="33" spans="2:10" ht="50.1" customHeight="1">
      <c r="B33" s="282" t="s">
        <v>803</v>
      </c>
      <c r="C33" s="300" t="s">
        <v>804</v>
      </c>
      <c r="D33" s="288" t="s">
        <v>805</v>
      </c>
      <c r="E33" s="5" t="s">
        <v>653</v>
      </c>
      <c r="F33" s="24" t="s">
        <v>756</v>
      </c>
      <c r="G33" s="24" t="s">
        <v>152</v>
      </c>
      <c r="H33" s="14" t="s">
        <v>38</v>
      </c>
      <c r="I33" s="40" t="s">
        <v>38</v>
      </c>
      <c r="J33" s="297" t="s">
        <v>742</v>
      </c>
    </row>
    <row r="34" spans="2:10" ht="50.1" customHeight="1">
      <c r="B34" s="283"/>
      <c r="C34" s="301"/>
      <c r="D34" s="289"/>
      <c r="E34" s="1" t="s">
        <v>659</v>
      </c>
      <c r="F34" s="28" t="s">
        <v>774</v>
      </c>
      <c r="G34" s="28" t="s">
        <v>152</v>
      </c>
      <c r="H34" s="28" t="s">
        <v>689</v>
      </c>
      <c r="I34" s="20" t="s">
        <v>152</v>
      </c>
      <c r="J34" s="298"/>
    </row>
    <row r="35" spans="2:10" ht="50.1" customHeight="1" thickBot="1">
      <c r="B35" s="284"/>
      <c r="C35" s="302"/>
      <c r="D35" s="290"/>
      <c r="E35" s="4" t="s">
        <v>664</v>
      </c>
      <c r="F35" s="27" t="s">
        <v>761</v>
      </c>
      <c r="G35" s="27" t="s">
        <v>117</v>
      </c>
      <c r="H35" s="59" t="s">
        <v>770</v>
      </c>
      <c r="I35" s="47" t="s">
        <v>117</v>
      </c>
      <c r="J35" s="299"/>
    </row>
    <row r="36" spans="2:10" ht="50.1" customHeight="1">
      <c r="B36" s="282" t="s">
        <v>422</v>
      </c>
      <c r="C36" s="300" t="s">
        <v>806</v>
      </c>
      <c r="D36" s="288" t="s">
        <v>807</v>
      </c>
      <c r="E36" s="5" t="s">
        <v>653</v>
      </c>
      <c r="F36" s="118" t="s">
        <v>662</v>
      </c>
      <c r="G36" s="24" t="s">
        <v>152</v>
      </c>
      <c r="H36" s="24" t="s">
        <v>732</v>
      </c>
      <c r="I36" s="19" t="s">
        <v>152</v>
      </c>
      <c r="J36" s="297" t="s">
        <v>742</v>
      </c>
    </row>
    <row r="37" spans="2:10" ht="50.1" customHeight="1">
      <c r="B37" s="283"/>
      <c r="C37" s="301"/>
      <c r="D37" s="289"/>
      <c r="E37" s="1" t="s">
        <v>659</v>
      </c>
      <c r="F37" s="28" t="s">
        <v>732</v>
      </c>
      <c r="G37" s="28" t="s">
        <v>152</v>
      </c>
      <c r="H37" s="119" t="s">
        <v>662</v>
      </c>
      <c r="I37" s="20" t="s">
        <v>152</v>
      </c>
      <c r="J37" s="298"/>
    </row>
    <row r="38" spans="2:10" ht="50.1" customHeight="1" thickBot="1">
      <c r="B38" s="284"/>
      <c r="C38" s="302"/>
      <c r="D38" s="290"/>
      <c r="E38" s="4" t="s">
        <v>664</v>
      </c>
      <c r="F38" s="27" t="s">
        <v>761</v>
      </c>
      <c r="G38" s="27" t="s">
        <v>117</v>
      </c>
      <c r="H38" s="59" t="s">
        <v>780</v>
      </c>
      <c r="I38" s="47" t="s">
        <v>117</v>
      </c>
      <c r="J38" s="299"/>
    </row>
    <row r="39" spans="2:10" ht="50.1" customHeight="1">
      <c r="B39" s="282" t="s">
        <v>448</v>
      </c>
      <c r="C39" s="300" t="s">
        <v>808</v>
      </c>
      <c r="D39" s="288" t="s">
        <v>809</v>
      </c>
      <c r="E39" s="5" t="s">
        <v>653</v>
      </c>
      <c r="F39" s="24" t="s">
        <v>756</v>
      </c>
      <c r="G39" s="24" t="s">
        <v>152</v>
      </c>
      <c r="H39" s="24"/>
      <c r="I39" s="19"/>
      <c r="J39" s="297" t="s">
        <v>742</v>
      </c>
    </row>
    <row r="40" spans="2:10" ht="50.1" customHeight="1">
      <c r="B40" s="283"/>
      <c r="C40" s="301"/>
      <c r="D40" s="289"/>
      <c r="E40" s="1" t="s">
        <v>659</v>
      </c>
      <c r="F40" s="28" t="s">
        <v>774</v>
      </c>
      <c r="G40" s="28" t="s">
        <v>152</v>
      </c>
      <c r="H40" s="28" t="s">
        <v>779</v>
      </c>
      <c r="I40" s="20" t="s">
        <v>152</v>
      </c>
      <c r="J40" s="298"/>
    </row>
    <row r="41" spans="2:10" ht="50.1" customHeight="1" thickBot="1">
      <c r="B41" s="284"/>
      <c r="C41" s="302"/>
      <c r="D41" s="290"/>
      <c r="E41" s="4" t="s">
        <v>664</v>
      </c>
      <c r="F41" s="59" t="s">
        <v>761</v>
      </c>
      <c r="G41" s="12" t="s">
        <v>117</v>
      </c>
      <c r="H41" s="59" t="s">
        <v>780</v>
      </c>
      <c r="I41" s="13" t="s">
        <v>117</v>
      </c>
      <c r="J41" s="299"/>
    </row>
    <row r="42" spans="2:10" ht="50.1" customHeight="1">
      <c r="B42" s="282" t="s">
        <v>691</v>
      </c>
      <c r="C42" s="300" t="s">
        <v>692</v>
      </c>
      <c r="D42" s="288" t="s">
        <v>810</v>
      </c>
      <c r="E42" s="5" t="s">
        <v>653</v>
      </c>
      <c r="F42" s="24" t="s">
        <v>662</v>
      </c>
      <c r="G42" s="11" t="s">
        <v>152</v>
      </c>
      <c r="H42" s="24"/>
      <c r="I42" s="19"/>
      <c r="J42" s="297" t="s">
        <v>742</v>
      </c>
    </row>
    <row r="43" spans="2:10" ht="50.1" customHeight="1">
      <c r="B43" s="283"/>
      <c r="C43" s="301"/>
      <c r="D43" s="289"/>
      <c r="E43" s="1" t="s">
        <v>659</v>
      </c>
      <c r="F43" s="28" t="s">
        <v>732</v>
      </c>
      <c r="G43" s="28" t="s">
        <v>152</v>
      </c>
      <c r="H43" s="28" t="s">
        <v>662</v>
      </c>
      <c r="I43" s="20" t="s">
        <v>152</v>
      </c>
      <c r="J43" s="298"/>
    </row>
    <row r="44" spans="2:10" ht="50.1" customHeight="1" thickBot="1">
      <c r="B44" s="284"/>
      <c r="C44" s="302"/>
      <c r="D44" s="290"/>
      <c r="E44" s="4" t="s">
        <v>664</v>
      </c>
      <c r="F44" s="27" t="s">
        <v>761</v>
      </c>
      <c r="G44" s="12" t="s">
        <v>117</v>
      </c>
      <c r="H44" s="27" t="s">
        <v>780</v>
      </c>
      <c r="I44" s="13" t="s">
        <v>117</v>
      </c>
      <c r="J44" s="299"/>
    </row>
    <row r="45" spans="2:10" ht="50.1" customHeight="1">
      <c r="B45" s="282" t="s">
        <v>405</v>
      </c>
      <c r="C45" s="300" t="s">
        <v>811</v>
      </c>
      <c r="D45" s="288" t="s">
        <v>812</v>
      </c>
      <c r="E45" s="5" t="s">
        <v>653</v>
      </c>
      <c r="F45" s="24" t="s">
        <v>662</v>
      </c>
      <c r="G45" s="24" t="s">
        <v>152</v>
      </c>
      <c r="H45" s="24"/>
      <c r="I45" s="19"/>
      <c r="J45" s="297"/>
    </row>
    <row r="46" spans="2:10" ht="50.1" customHeight="1">
      <c r="B46" s="283"/>
      <c r="C46" s="301"/>
      <c r="D46" s="289"/>
      <c r="E46" s="1" t="s">
        <v>659</v>
      </c>
      <c r="F46" s="119" t="s">
        <v>732</v>
      </c>
      <c r="G46" s="28" t="s">
        <v>152</v>
      </c>
      <c r="H46" s="58"/>
      <c r="I46" s="10"/>
      <c r="J46" s="298"/>
    </row>
    <row r="47" spans="2:10" ht="50.1" customHeight="1" thickBot="1">
      <c r="B47" s="284"/>
      <c r="C47" s="302"/>
      <c r="D47" s="290"/>
      <c r="E47" s="4" t="s">
        <v>664</v>
      </c>
      <c r="F47" s="59" t="s">
        <v>761</v>
      </c>
      <c r="G47" s="12" t="s">
        <v>117</v>
      </c>
      <c r="H47" s="59" t="s">
        <v>770</v>
      </c>
      <c r="I47" s="13" t="s">
        <v>117</v>
      </c>
      <c r="J47" s="336"/>
    </row>
    <row r="48" spans="2:10" ht="50.1" customHeight="1">
      <c r="B48" s="282" t="s">
        <v>813</v>
      </c>
      <c r="C48" s="285" t="s">
        <v>814</v>
      </c>
      <c r="D48" s="288" t="s">
        <v>815</v>
      </c>
      <c r="E48" s="5" t="s">
        <v>653</v>
      </c>
      <c r="F48" s="24" t="s">
        <v>730</v>
      </c>
      <c r="G48" s="24" t="s">
        <v>152</v>
      </c>
      <c r="H48" s="24" t="s">
        <v>747</v>
      </c>
      <c r="I48" s="19" t="s">
        <v>152</v>
      </c>
      <c r="J48" s="297" t="s">
        <v>742</v>
      </c>
    </row>
    <row r="49" spans="2:10" ht="50.1" customHeight="1">
      <c r="B49" s="283"/>
      <c r="C49" s="286"/>
      <c r="D49" s="289"/>
      <c r="E49" s="1" t="s">
        <v>659</v>
      </c>
      <c r="F49" s="28" t="s">
        <v>747</v>
      </c>
      <c r="G49" s="8" t="s">
        <v>152</v>
      </c>
      <c r="H49" s="28" t="s">
        <v>730</v>
      </c>
      <c r="I49" s="20" t="s">
        <v>152</v>
      </c>
      <c r="J49" s="298"/>
    </row>
    <row r="50" spans="2:10" ht="50.1" customHeight="1" thickBot="1">
      <c r="B50" s="284"/>
      <c r="C50" s="287"/>
      <c r="D50" s="290"/>
      <c r="E50" s="4" t="s">
        <v>664</v>
      </c>
      <c r="F50" s="59" t="s">
        <v>791</v>
      </c>
      <c r="G50" s="12" t="s">
        <v>117</v>
      </c>
      <c r="H50" s="59" t="s">
        <v>780</v>
      </c>
      <c r="I50" s="13" t="s">
        <v>117</v>
      </c>
      <c r="J50" s="299"/>
    </row>
    <row r="51" spans="2:10" ht="50.1" customHeight="1">
      <c r="B51" s="282"/>
      <c r="C51" s="285"/>
      <c r="D51" s="288"/>
      <c r="E51" s="5"/>
      <c r="F51" s="24"/>
      <c r="G51" s="24"/>
      <c r="H51" s="24"/>
      <c r="I51" s="19"/>
      <c r="J51" s="116"/>
    </row>
    <row r="52" spans="2:10" ht="50.1" customHeight="1">
      <c r="B52" s="283"/>
      <c r="C52" s="286"/>
      <c r="D52" s="289"/>
      <c r="E52" s="1"/>
      <c r="F52" s="28"/>
      <c r="G52" s="28"/>
      <c r="H52" s="28"/>
      <c r="I52" s="10"/>
      <c r="J52" s="116"/>
    </row>
    <row r="53" spans="2:10" ht="50.1" customHeight="1" thickBot="1">
      <c r="B53" s="284"/>
      <c r="C53" s="287"/>
      <c r="D53" s="290"/>
      <c r="E53" s="4"/>
      <c r="F53" s="57"/>
      <c r="G53" s="12"/>
      <c r="H53" s="57"/>
      <c r="I53" s="13"/>
      <c r="J53" s="116"/>
    </row>
    <row r="54" spans="2:10" ht="50.1" customHeight="1">
      <c r="B54" s="282"/>
      <c r="C54" s="285"/>
      <c r="D54" s="288"/>
      <c r="E54" s="5"/>
      <c r="F54" s="24"/>
      <c r="G54" s="24"/>
      <c r="H54" s="24"/>
      <c r="I54" s="24"/>
      <c r="J54" s="116"/>
    </row>
    <row r="55" spans="2:10" ht="50.1" customHeight="1">
      <c r="B55" s="283"/>
      <c r="C55" s="286"/>
      <c r="D55" s="289"/>
      <c r="E55" s="1"/>
      <c r="F55" s="28"/>
      <c r="G55" s="28"/>
      <c r="H55" s="28"/>
      <c r="I55" s="28"/>
      <c r="J55" s="116"/>
    </row>
    <row r="56" spans="2:10" ht="50.1" customHeight="1" thickBot="1">
      <c r="B56" s="284"/>
      <c r="C56" s="287"/>
      <c r="D56" s="290"/>
      <c r="E56" s="4"/>
      <c r="F56" s="27"/>
      <c r="G56" s="27"/>
      <c r="H56" s="27"/>
      <c r="I56" s="12"/>
      <c r="J56" s="117"/>
    </row>
  </sheetData>
  <mergeCells count="71">
    <mergeCell ref="J48:J50"/>
    <mergeCell ref="J45:J47"/>
    <mergeCell ref="J27:J29"/>
    <mergeCell ref="J30:J32"/>
    <mergeCell ref="J33:J35"/>
    <mergeCell ref="J36:J38"/>
    <mergeCell ref="B54:B56"/>
    <mergeCell ref="C54:C56"/>
    <mergeCell ref="D54:D56"/>
    <mergeCell ref="B48:B50"/>
    <mergeCell ref="C48:C50"/>
    <mergeCell ref="D48:D50"/>
    <mergeCell ref="B51:B53"/>
    <mergeCell ref="C51:C53"/>
    <mergeCell ref="D51:D53"/>
    <mergeCell ref="B39:B41"/>
    <mergeCell ref="C39:C41"/>
    <mergeCell ref="D39:D41"/>
    <mergeCell ref="J24:J26"/>
    <mergeCell ref="B42:B44"/>
    <mergeCell ref="C42:C44"/>
    <mergeCell ref="D42:D44"/>
    <mergeCell ref="B24:B26"/>
    <mergeCell ref="C24:C26"/>
    <mergeCell ref="D24:D26"/>
    <mergeCell ref="B27:B29"/>
    <mergeCell ref="C27:C29"/>
    <mergeCell ref="D27:D29"/>
    <mergeCell ref="J39:J41"/>
    <mergeCell ref="J42:J44"/>
    <mergeCell ref="B21:B23"/>
    <mergeCell ref="C21:C23"/>
    <mergeCell ref="D21:D23"/>
    <mergeCell ref="J21:J23"/>
    <mergeCell ref="B45:B47"/>
    <mergeCell ref="C45:C47"/>
    <mergeCell ref="D45:D47"/>
    <mergeCell ref="B30:B32"/>
    <mergeCell ref="C30:C32"/>
    <mergeCell ref="D30:D32"/>
    <mergeCell ref="B33:B35"/>
    <mergeCell ref="C33:C35"/>
    <mergeCell ref="D33:D35"/>
    <mergeCell ref="B36:B38"/>
    <mergeCell ref="C36:C38"/>
    <mergeCell ref="D36:D38"/>
    <mergeCell ref="B15:B17"/>
    <mergeCell ref="C15:C17"/>
    <mergeCell ref="D15:D17"/>
    <mergeCell ref="J15:J17"/>
    <mergeCell ref="B18:B20"/>
    <mergeCell ref="C18:C20"/>
    <mergeCell ref="D18:D20"/>
    <mergeCell ref="J18:J20"/>
    <mergeCell ref="B6:B8"/>
    <mergeCell ref="C6:C8"/>
    <mergeCell ref="D6:D8"/>
    <mergeCell ref="J6:J8"/>
    <mergeCell ref="B1:J1"/>
    <mergeCell ref="B3:B5"/>
    <mergeCell ref="C3:C5"/>
    <mergeCell ref="D3:D5"/>
    <mergeCell ref="J3:J5"/>
    <mergeCell ref="B9:B11"/>
    <mergeCell ref="C9:C11"/>
    <mergeCell ref="D9:D11"/>
    <mergeCell ref="J9:J11"/>
    <mergeCell ref="B12:B14"/>
    <mergeCell ref="C12:C14"/>
    <mergeCell ref="D12:D14"/>
    <mergeCell ref="J12:J14"/>
  </mergeCells>
  <pageMargins left="0.25" right="0.25" top="0.75" bottom="0.75" header="0.3" footer="0.3"/>
  <pageSetup paperSize="9" scale="40" fitToWidth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2EC45-51DD-4942-A745-6A65C7B46123}">
  <sheetPr>
    <pageSetUpPr fitToPage="1"/>
  </sheetPr>
  <dimension ref="B1:J70"/>
  <sheetViews>
    <sheetView zoomScale="90" zoomScaleNormal="90" workbookViewId="0">
      <pane ySplit="2" topLeftCell="A3" activePane="bottomLeft" state="frozen"/>
      <selection pane="bottomLeft" activeCell="C3" sqref="C3"/>
    </sheetView>
  </sheetViews>
  <sheetFormatPr defaultRowHeight="15"/>
  <cols>
    <col min="1" max="1" width="3.42578125" customWidth="1"/>
    <col min="2" max="2" width="27.42578125" customWidth="1"/>
    <col min="3" max="3" width="59.140625" customWidth="1"/>
    <col min="4" max="4" width="22.85546875" customWidth="1"/>
    <col min="5" max="5" width="18.42578125" customWidth="1"/>
    <col min="6" max="6" width="50.7109375" customWidth="1"/>
    <col min="7" max="7" width="15" customWidth="1"/>
    <col min="8" max="8" width="44.42578125" customWidth="1"/>
    <col min="9" max="9" width="13.42578125" bestFit="1" customWidth="1"/>
    <col min="10" max="10" width="29.85546875" customWidth="1"/>
    <col min="11" max="11" width="11.85546875" bestFit="1" customWidth="1"/>
  </cols>
  <sheetData>
    <row r="1" spans="2:10" ht="87" customHeight="1" thickBot="1">
      <c r="B1" s="333" t="s">
        <v>642</v>
      </c>
      <c r="C1" s="334"/>
      <c r="D1" s="334"/>
      <c r="E1" s="334"/>
      <c r="F1" s="334"/>
      <c r="G1" s="334"/>
      <c r="H1" s="334"/>
      <c r="I1" s="334"/>
      <c r="J1" s="335"/>
    </row>
    <row r="2" spans="2:10" ht="42.75" customHeight="1" thickBot="1">
      <c r="B2" s="48" t="s">
        <v>2</v>
      </c>
      <c r="C2" s="49" t="s">
        <v>643</v>
      </c>
      <c r="D2" s="49" t="s">
        <v>644</v>
      </c>
      <c r="E2" s="50" t="s">
        <v>645</v>
      </c>
      <c r="F2" s="50" t="s">
        <v>646</v>
      </c>
      <c r="G2" s="49" t="s">
        <v>647</v>
      </c>
      <c r="H2" s="50" t="s">
        <v>648</v>
      </c>
      <c r="I2" s="51" t="s">
        <v>647</v>
      </c>
      <c r="J2" s="6" t="s">
        <v>649</v>
      </c>
    </row>
    <row r="3" spans="2:10" ht="50.1" customHeight="1">
      <c r="B3" s="318" t="s">
        <v>792</v>
      </c>
      <c r="C3" s="360" t="s">
        <v>793</v>
      </c>
      <c r="D3" s="321" t="s">
        <v>816</v>
      </c>
      <c r="E3" s="5" t="s">
        <v>653</v>
      </c>
      <c r="F3" s="24" t="s">
        <v>747</v>
      </c>
      <c r="G3" s="24" t="s">
        <v>152</v>
      </c>
      <c r="H3" s="24" t="s">
        <v>662</v>
      </c>
      <c r="I3" s="19" t="s">
        <v>152</v>
      </c>
      <c r="J3" s="297" t="s">
        <v>742</v>
      </c>
    </row>
    <row r="4" spans="2:10" ht="50.1" customHeight="1">
      <c r="B4" s="319"/>
      <c r="C4" s="353"/>
      <c r="D4" s="322"/>
      <c r="E4" s="1" t="s">
        <v>659</v>
      </c>
      <c r="F4" s="15" t="s">
        <v>817</v>
      </c>
      <c r="G4" s="41" t="s">
        <v>152</v>
      </c>
      <c r="H4" s="39" t="s">
        <v>818</v>
      </c>
      <c r="I4" s="39" t="s">
        <v>152</v>
      </c>
      <c r="J4" s="298"/>
    </row>
    <row r="5" spans="2:10" ht="50.1" customHeight="1" thickBot="1">
      <c r="B5" s="320"/>
      <c r="C5" s="362"/>
      <c r="D5" s="323"/>
      <c r="E5" s="4" t="s">
        <v>664</v>
      </c>
      <c r="F5" s="110" t="s">
        <v>780</v>
      </c>
      <c r="G5" s="43" t="s">
        <v>117</v>
      </c>
      <c r="H5" s="27" t="s">
        <v>696</v>
      </c>
      <c r="I5" s="42" t="s">
        <v>117</v>
      </c>
      <c r="J5" s="299"/>
    </row>
    <row r="6" spans="2:10" ht="50.1" customHeight="1">
      <c r="B6" s="282" t="s">
        <v>819</v>
      </c>
      <c r="C6" s="363" t="s">
        <v>820</v>
      </c>
      <c r="D6" s="288" t="s">
        <v>821</v>
      </c>
      <c r="E6" s="5" t="s">
        <v>653</v>
      </c>
      <c r="F6" s="24" t="s">
        <v>662</v>
      </c>
      <c r="G6" s="24" t="s">
        <v>152</v>
      </c>
      <c r="H6" s="24" t="s">
        <v>818</v>
      </c>
      <c r="I6" s="19" t="s">
        <v>152</v>
      </c>
      <c r="J6" s="366" t="s">
        <v>687</v>
      </c>
    </row>
    <row r="7" spans="2:10" ht="50.1" customHeight="1">
      <c r="B7" s="283"/>
      <c r="C7" s="364"/>
      <c r="D7" s="289"/>
      <c r="E7" s="1" t="s">
        <v>659</v>
      </c>
      <c r="F7" s="119" t="s">
        <v>818</v>
      </c>
      <c r="G7" s="28" t="s">
        <v>152</v>
      </c>
      <c r="H7" s="119" t="s">
        <v>662</v>
      </c>
      <c r="I7" s="10" t="s">
        <v>152</v>
      </c>
      <c r="J7" s="367"/>
    </row>
    <row r="8" spans="2:10" ht="50.1" customHeight="1" thickBot="1">
      <c r="B8" s="284"/>
      <c r="C8" s="365"/>
      <c r="D8" s="290"/>
      <c r="E8" s="4" t="s">
        <v>664</v>
      </c>
      <c r="F8" s="59" t="s">
        <v>780</v>
      </c>
      <c r="G8" s="12" t="s">
        <v>117</v>
      </c>
      <c r="H8" s="59" t="s">
        <v>791</v>
      </c>
      <c r="I8" s="13" t="s">
        <v>117</v>
      </c>
      <c r="J8" s="368"/>
    </row>
    <row r="9" spans="2:10" ht="50.1" customHeight="1">
      <c r="B9" s="282" t="s">
        <v>473</v>
      </c>
      <c r="C9" s="360" t="s">
        <v>822</v>
      </c>
      <c r="D9" s="288" t="s">
        <v>823</v>
      </c>
      <c r="E9" s="5" t="s">
        <v>653</v>
      </c>
      <c r="F9" s="24" t="s">
        <v>747</v>
      </c>
      <c r="G9" s="19" t="s">
        <v>152</v>
      </c>
      <c r="H9" s="24" t="s">
        <v>662</v>
      </c>
      <c r="I9" s="19" t="s">
        <v>152</v>
      </c>
      <c r="J9" s="297" t="s">
        <v>742</v>
      </c>
    </row>
    <row r="10" spans="2:10" ht="50.1" customHeight="1">
      <c r="B10" s="283"/>
      <c r="C10" s="353"/>
      <c r="D10" s="289"/>
      <c r="E10" s="1" t="s">
        <v>659</v>
      </c>
      <c r="F10" s="28" t="s">
        <v>817</v>
      </c>
      <c r="G10" s="8" t="s">
        <v>152</v>
      </c>
      <c r="H10" s="28" t="s">
        <v>824</v>
      </c>
      <c r="I10" s="20" t="s">
        <v>152</v>
      </c>
      <c r="J10" s="298"/>
    </row>
    <row r="11" spans="2:10" ht="50.1" customHeight="1">
      <c r="B11" s="284"/>
      <c r="C11" s="362"/>
      <c r="D11" s="290"/>
      <c r="E11" s="4" t="s">
        <v>664</v>
      </c>
      <c r="F11" s="59" t="s">
        <v>780</v>
      </c>
      <c r="G11" s="12" t="s">
        <v>117</v>
      </c>
      <c r="H11" s="59" t="s">
        <v>825</v>
      </c>
      <c r="I11" s="13" t="s">
        <v>117</v>
      </c>
      <c r="J11" s="299"/>
    </row>
    <row r="12" spans="2:10" ht="50.1" customHeight="1">
      <c r="B12" s="282" t="s">
        <v>502</v>
      </c>
      <c r="C12" s="360" t="s">
        <v>826</v>
      </c>
      <c r="D12" s="288" t="s">
        <v>827</v>
      </c>
      <c r="E12" s="5" t="s">
        <v>653</v>
      </c>
      <c r="F12" s="24" t="s">
        <v>662</v>
      </c>
      <c r="G12" s="24" t="s">
        <v>152</v>
      </c>
      <c r="H12" s="24" t="s">
        <v>818</v>
      </c>
      <c r="I12" s="19" t="s">
        <v>152</v>
      </c>
      <c r="J12" s="297" t="s">
        <v>742</v>
      </c>
    </row>
    <row r="13" spans="2:10" ht="50.1" customHeight="1">
      <c r="B13" s="283"/>
      <c r="C13" s="353"/>
      <c r="D13" s="289"/>
      <c r="E13" s="1" t="s">
        <v>659</v>
      </c>
      <c r="F13" s="28" t="s">
        <v>818</v>
      </c>
      <c r="G13" s="28" t="s">
        <v>152</v>
      </c>
      <c r="H13" s="28" t="s">
        <v>662</v>
      </c>
      <c r="I13" s="10" t="s">
        <v>152</v>
      </c>
      <c r="J13" s="298"/>
    </row>
    <row r="14" spans="2:10" ht="50.1" customHeight="1" thickBot="1">
      <c r="B14" s="284"/>
      <c r="C14" s="362"/>
      <c r="D14" s="290"/>
      <c r="E14" s="4" t="s">
        <v>664</v>
      </c>
      <c r="F14" s="59" t="s">
        <v>780</v>
      </c>
      <c r="G14" s="12" t="s">
        <v>117</v>
      </c>
      <c r="H14" s="59" t="s">
        <v>770</v>
      </c>
      <c r="I14" s="13" t="s">
        <v>117</v>
      </c>
      <c r="J14" s="299"/>
    </row>
    <row r="15" spans="2:10" ht="50.1" customHeight="1">
      <c r="B15" s="282" t="s">
        <v>560</v>
      </c>
      <c r="C15" s="360" t="s">
        <v>828</v>
      </c>
      <c r="D15" s="288" t="s">
        <v>829</v>
      </c>
      <c r="E15" s="5" t="s">
        <v>653</v>
      </c>
      <c r="F15" s="24" t="s">
        <v>662</v>
      </c>
      <c r="G15" s="24" t="s">
        <v>152</v>
      </c>
      <c r="H15" s="24" t="s">
        <v>824</v>
      </c>
      <c r="I15" s="19" t="s">
        <v>152</v>
      </c>
      <c r="J15" s="297" t="s">
        <v>742</v>
      </c>
    </row>
    <row r="16" spans="2:10" ht="50.1" customHeight="1">
      <c r="B16" s="283"/>
      <c r="C16" s="353"/>
      <c r="D16" s="289"/>
      <c r="E16" s="1" t="s">
        <v>659</v>
      </c>
      <c r="F16" s="28" t="s">
        <v>824</v>
      </c>
      <c r="G16" s="28" t="s">
        <v>152</v>
      </c>
      <c r="H16" s="28" t="s">
        <v>662</v>
      </c>
      <c r="I16" s="10" t="s">
        <v>152</v>
      </c>
      <c r="J16" s="298"/>
    </row>
    <row r="17" spans="2:10" ht="50.1" customHeight="1" thickBot="1">
      <c r="B17" s="284"/>
      <c r="C17" s="362"/>
      <c r="D17" s="290"/>
      <c r="E17" s="4" t="s">
        <v>664</v>
      </c>
      <c r="F17" s="59" t="s">
        <v>780</v>
      </c>
      <c r="G17" s="12" t="s">
        <v>117</v>
      </c>
      <c r="H17" s="27" t="s">
        <v>696</v>
      </c>
      <c r="I17" s="12" t="s">
        <v>117</v>
      </c>
      <c r="J17" s="299"/>
    </row>
    <row r="18" spans="2:10" ht="50.1" customHeight="1">
      <c r="B18" s="282" t="s">
        <v>830</v>
      </c>
      <c r="C18" s="360" t="s">
        <v>831</v>
      </c>
      <c r="D18" s="288" t="s">
        <v>832</v>
      </c>
      <c r="E18" s="5" t="s">
        <v>653</v>
      </c>
      <c r="F18" s="24" t="s">
        <v>833</v>
      </c>
      <c r="G18" s="24" t="s">
        <v>152</v>
      </c>
      <c r="H18" s="24" t="s">
        <v>674</v>
      </c>
      <c r="I18" s="19" t="s">
        <v>152</v>
      </c>
      <c r="J18" s="297" t="s">
        <v>742</v>
      </c>
    </row>
    <row r="19" spans="2:10" ht="50.1" customHeight="1">
      <c r="B19" s="283"/>
      <c r="C19" s="353"/>
      <c r="D19" s="289"/>
      <c r="E19" s="1" t="s">
        <v>659</v>
      </c>
      <c r="F19" s="28" t="s">
        <v>784</v>
      </c>
      <c r="G19" s="28" t="s">
        <v>152</v>
      </c>
      <c r="H19" s="28" t="s">
        <v>797</v>
      </c>
      <c r="I19" s="10" t="s">
        <v>152</v>
      </c>
      <c r="J19" s="298"/>
    </row>
    <row r="20" spans="2:10" ht="50.1" customHeight="1" thickBot="1">
      <c r="B20" s="284"/>
      <c r="C20" s="362"/>
      <c r="D20" s="290"/>
      <c r="E20" s="4" t="s">
        <v>664</v>
      </c>
      <c r="F20" s="59" t="s">
        <v>780</v>
      </c>
      <c r="G20" s="12" t="s">
        <v>117</v>
      </c>
      <c r="H20" s="27" t="s">
        <v>696</v>
      </c>
      <c r="I20" s="12" t="s">
        <v>117</v>
      </c>
      <c r="J20" s="299"/>
    </row>
    <row r="21" spans="2:10" ht="50.1" customHeight="1">
      <c r="B21" s="282" t="s">
        <v>549</v>
      </c>
      <c r="C21" s="360" t="s">
        <v>834</v>
      </c>
      <c r="D21" s="288" t="s">
        <v>835</v>
      </c>
      <c r="E21" s="5" t="s">
        <v>653</v>
      </c>
      <c r="F21" s="24" t="s">
        <v>662</v>
      </c>
      <c r="G21" s="24" t="s">
        <v>152</v>
      </c>
      <c r="H21" s="24" t="s">
        <v>824</v>
      </c>
      <c r="I21" s="19" t="s">
        <v>152</v>
      </c>
      <c r="J21" s="297" t="s">
        <v>742</v>
      </c>
    </row>
    <row r="22" spans="2:10" ht="50.1" customHeight="1">
      <c r="B22" s="283"/>
      <c r="C22" s="353"/>
      <c r="D22" s="289"/>
      <c r="E22" s="1" t="s">
        <v>659</v>
      </c>
      <c r="F22" s="28" t="s">
        <v>824</v>
      </c>
      <c r="G22" s="28" t="s">
        <v>152</v>
      </c>
      <c r="H22" s="28" t="s">
        <v>662</v>
      </c>
      <c r="I22" s="28" t="s">
        <v>152</v>
      </c>
      <c r="J22" s="298"/>
    </row>
    <row r="23" spans="2:10" ht="50.1" customHeight="1" thickBot="1">
      <c r="B23" s="359"/>
      <c r="C23" s="353"/>
      <c r="D23" s="361"/>
      <c r="E23" s="185" t="s">
        <v>664</v>
      </c>
      <c r="F23" s="190" t="s">
        <v>780</v>
      </c>
      <c r="G23" s="191" t="s">
        <v>117</v>
      </c>
      <c r="H23" s="192" t="s">
        <v>696</v>
      </c>
      <c r="I23" s="191" t="s">
        <v>117</v>
      </c>
      <c r="J23" s="298"/>
    </row>
    <row r="24" spans="2:10" ht="50.25" customHeight="1">
      <c r="B24" s="349" t="s">
        <v>781</v>
      </c>
      <c r="C24" s="352" t="s">
        <v>836</v>
      </c>
      <c r="D24" s="343" t="s">
        <v>837</v>
      </c>
      <c r="E24" s="184" t="s">
        <v>838</v>
      </c>
      <c r="F24" s="193" t="s">
        <v>662</v>
      </c>
      <c r="G24" s="193" t="s">
        <v>152</v>
      </c>
      <c r="H24" s="193" t="s">
        <v>839</v>
      </c>
      <c r="I24" s="194" t="s">
        <v>152</v>
      </c>
      <c r="J24" s="346" t="s">
        <v>742</v>
      </c>
    </row>
    <row r="25" spans="2:10" ht="50.25" customHeight="1">
      <c r="B25" s="350"/>
      <c r="C25" s="353"/>
      <c r="D25" s="344"/>
      <c r="E25" s="1" t="s">
        <v>659</v>
      </c>
      <c r="F25" s="28" t="s">
        <v>839</v>
      </c>
      <c r="G25" s="28" t="s">
        <v>152</v>
      </c>
      <c r="H25" s="28" t="s">
        <v>840</v>
      </c>
      <c r="I25" s="28" t="s">
        <v>152</v>
      </c>
      <c r="J25" s="347"/>
    </row>
    <row r="26" spans="2:10" ht="50.25" customHeight="1">
      <c r="B26" s="351"/>
      <c r="C26" s="354"/>
      <c r="D26" s="345"/>
      <c r="E26" s="198" t="s">
        <v>664</v>
      </c>
      <c r="F26" s="195" t="s">
        <v>841</v>
      </c>
      <c r="G26" s="196" t="s">
        <v>117</v>
      </c>
      <c r="H26" s="197" t="s">
        <v>842</v>
      </c>
      <c r="I26" s="196" t="s">
        <v>117</v>
      </c>
      <c r="J26" s="348"/>
    </row>
    <row r="27" spans="2:10" ht="50.1" customHeight="1">
      <c r="B27" s="349" t="s">
        <v>803</v>
      </c>
      <c r="C27" s="352" t="s">
        <v>843</v>
      </c>
      <c r="D27" s="343" t="s">
        <v>844</v>
      </c>
      <c r="E27" s="202" t="s">
        <v>838</v>
      </c>
      <c r="F27" s="203" t="s">
        <v>662</v>
      </c>
      <c r="G27" s="203" t="s">
        <v>152</v>
      </c>
      <c r="H27" s="203" t="s">
        <v>839</v>
      </c>
      <c r="I27" s="203" t="s">
        <v>152</v>
      </c>
      <c r="J27" s="346" t="s">
        <v>742</v>
      </c>
    </row>
    <row r="28" spans="2:10" ht="50.1" customHeight="1">
      <c r="B28" s="355"/>
      <c r="C28" s="353"/>
      <c r="D28" s="357"/>
      <c r="E28" s="199" t="s">
        <v>838</v>
      </c>
      <c r="F28" s="200" t="s">
        <v>756</v>
      </c>
      <c r="G28" s="200" t="s">
        <v>152</v>
      </c>
      <c r="H28" s="200" t="s">
        <v>774</v>
      </c>
      <c r="I28" s="201" t="s">
        <v>152</v>
      </c>
      <c r="J28" s="347"/>
    </row>
    <row r="29" spans="2:10" ht="50.1" customHeight="1">
      <c r="B29" s="350"/>
      <c r="C29" s="353"/>
      <c r="D29" s="344"/>
      <c r="E29" s="1" t="s">
        <v>659</v>
      </c>
      <c r="F29" s="28" t="s">
        <v>839</v>
      </c>
      <c r="G29" s="28" t="s">
        <v>152</v>
      </c>
      <c r="H29" s="28" t="s">
        <v>774</v>
      </c>
      <c r="I29" s="28" t="s">
        <v>152</v>
      </c>
      <c r="J29" s="347"/>
    </row>
    <row r="30" spans="2:10" ht="50.1" customHeight="1">
      <c r="B30" s="356"/>
      <c r="C30" s="353"/>
      <c r="D30" s="358"/>
      <c r="E30" s="1" t="s">
        <v>659</v>
      </c>
      <c r="F30" s="28" t="s">
        <v>845</v>
      </c>
      <c r="G30" s="28" t="s">
        <v>152</v>
      </c>
      <c r="H30" s="33" t="s">
        <v>846</v>
      </c>
      <c r="I30" s="33" t="s">
        <v>152</v>
      </c>
      <c r="J30" s="347"/>
    </row>
    <row r="31" spans="2:10" ht="50.1" customHeight="1">
      <c r="B31" s="351"/>
      <c r="C31" s="354"/>
      <c r="D31" s="345"/>
      <c r="E31" s="198" t="s">
        <v>664</v>
      </c>
      <c r="F31" s="195" t="s">
        <v>841</v>
      </c>
      <c r="G31" s="196" t="s">
        <v>117</v>
      </c>
      <c r="H31" s="197" t="s">
        <v>696</v>
      </c>
      <c r="I31" s="196" t="s">
        <v>117</v>
      </c>
      <c r="J31" s="348"/>
    </row>
    <row r="32" spans="2:10" ht="48.75" customHeight="1">
      <c r="B32" s="349" t="s">
        <v>575</v>
      </c>
      <c r="C32" s="352" t="s">
        <v>847</v>
      </c>
      <c r="D32" s="343" t="s">
        <v>848</v>
      </c>
      <c r="E32" s="202" t="s">
        <v>838</v>
      </c>
      <c r="F32" s="203" t="s">
        <v>849</v>
      </c>
      <c r="G32" s="203" t="s">
        <v>576</v>
      </c>
      <c r="H32" s="203" t="s">
        <v>850</v>
      </c>
      <c r="I32" s="203" t="s">
        <v>576</v>
      </c>
      <c r="J32" s="346" t="s">
        <v>742</v>
      </c>
    </row>
    <row r="33" spans="2:10" ht="48.75" customHeight="1">
      <c r="B33" s="350"/>
      <c r="C33" s="353"/>
      <c r="D33" s="344"/>
      <c r="E33" s="1" t="s">
        <v>659</v>
      </c>
      <c r="F33" s="28" t="s">
        <v>845</v>
      </c>
      <c r="G33" s="28" t="s">
        <v>152</v>
      </c>
      <c r="H33" s="28" t="s">
        <v>851</v>
      </c>
      <c r="I33" s="28" t="s">
        <v>152</v>
      </c>
      <c r="J33" s="347"/>
    </row>
    <row r="34" spans="2:10" ht="48.75" customHeight="1">
      <c r="B34" s="351"/>
      <c r="C34" s="354"/>
      <c r="D34" s="345"/>
      <c r="E34" s="198" t="s">
        <v>664</v>
      </c>
      <c r="F34" s="195" t="s">
        <v>841</v>
      </c>
      <c r="G34" s="196" t="s">
        <v>117</v>
      </c>
      <c r="H34" s="197" t="s">
        <v>852</v>
      </c>
      <c r="I34" s="196" t="s">
        <v>117</v>
      </c>
      <c r="J34" s="348"/>
    </row>
    <row r="35" spans="2:10" ht="50.25" customHeight="1">
      <c r="B35" s="349" t="s">
        <v>853</v>
      </c>
      <c r="C35" s="352" t="s">
        <v>854</v>
      </c>
      <c r="D35" s="343" t="s">
        <v>855</v>
      </c>
      <c r="E35" s="202" t="s">
        <v>838</v>
      </c>
      <c r="F35" s="24" t="s">
        <v>662</v>
      </c>
      <c r="G35" s="24" t="s">
        <v>152</v>
      </c>
      <c r="H35" s="24" t="s">
        <v>824</v>
      </c>
      <c r="I35" s="24" t="s">
        <v>152</v>
      </c>
      <c r="J35" s="346" t="s">
        <v>742</v>
      </c>
    </row>
    <row r="36" spans="2:10" ht="36.75" customHeight="1">
      <c r="B36" s="350"/>
      <c r="C36" s="353"/>
      <c r="D36" s="344"/>
      <c r="E36" s="1" t="s">
        <v>659</v>
      </c>
      <c r="F36" s="28" t="s">
        <v>824</v>
      </c>
      <c r="G36" s="28" t="s">
        <v>152</v>
      </c>
      <c r="H36" s="28" t="s">
        <v>840</v>
      </c>
      <c r="I36" s="28" t="s">
        <v>152</v>
      </c>
      <c r="J36" s="347"/>
    </row>
    <row r="37" spans="2:10" ht="47.25" customHeight="1">
      <c r="B37" s="351"/>
      <c r="C37" s="354"/>
      <c r="D37" s="345"/>
      <c r="E37" s="198" t="s">
        <v>664</v>
      </c>
      <c r="F37" s="195" t="s">
        <v>841</v>
      </c>
      <c r="G37" s="196" t="s">
        <v>117</v>
      </c>
      <c r="H37" s="197" t="s">
        <v>852</v>
      </c>
      <c r="I37" s="196" t="s">
        <v>117</v>
      </c>
      <c r="J37" s="348"/>
    </row>
    <row r="38" spans="2:10" ht="43.5" customHeight="1">
      <c r="B38" s="349" t="s">
        <v>856</v>
      </c>
      <c r="C38" s="340" t="s">
        <v>857</v>
      </c>
      <c r="D38" s="343" t="s">
        <v>858</v>
      </c>
      <c r="E38" s="202" t="s">
        <v>838</v>
      </c>
      <c r="F38" s="24" t="s">
        <v>662</v>
      </c>
      <c r="G38" s="24" t="s">
        <v>152</v>
      </c>
      <c r="H38" s="24" t="s">
        <v>824</v>
      </c>
      <c r="I38" s="24" t="s">
        <v>152</v>
      </c>
      <c r="J38" s="346" t="s">
        <v>742</v>
      </c>
    </row>
    <row r="39" spans="2:10" ht="43.5" customHeight="1">
      <c r="B39" s="350"/>
      <c r="C39" s="341"/>
      <c r="D39" s="344"/>
      <c r="E39" s="1" t="s">
        <v>659</v>
      </c>
      <c r="F39" s="28" t="s">
        <v>824</v>
      </c>
      <c r="G39" s="28" t="s">
        <v>152</v>
      </c>
      <c r="H39" s="28" t="s">
        <v>840</v>
      </c>
      <c r="I39" s="28" t="s">
        <v>152</v>
      </c>
      <c r="J39" s="347"/>
    </row>
    <row r="40" spans="2:10" ht="43.5" customHeight="1">
      <c r="B40" s="351"/>
      <c r="C40" s="342"/>
      <c r="D40" s="345"/>
      <c r="E40" s="198" t="s">
        <v>664</v>
      </c>
      <c r="F40" s="195" t="s">
        <v>841</v>
      </c>
      <c r="G40" s="196" t="s">
        <v>117</v>
      </c>
      <c r="H40" s="197" t="s">
        <v>859</v>
      </c>
      <c r="I40" s="196" t="s">
        <v>117</v>
      </c>
      <c r="J40" s="348"/>
    </row>
    <row r="41" spans="2:10" ht="43.5" customHeight="1">
      <c r="B41" s="349" t="s">
        <v>570</v>
      </c>
      <c r="C41" s="340" t="s">
        <v>860</v>
      </c>
      <c r="D41" s="343" t="s">
        <v>861</v>
      </c>
      <c r="E41" s="202" t="s">
        <v>838</v>
      </c>
      <c r="F41" s="24" t="s">
        <v>862</v>
      </c>
      <c r="G41" s="24" t="s">
        <v>152</v>
      </c>
      <c r="H41" s="24" t="s">
        <v>863</v>
      </c>
      <c r="I41" s="24" t="s">
        <v>152</v>
      </c>
      <c r="J41" s="346" t="s">
        <v>742</v>
      </c>
    </row>
    <row r="42" spans="2:10" ht="43.5" customHeight="1">
      <c r="B42" s="350"/>
      <c r="C42" s="341"/>
      <c r="D42" s="344"/>
      <c r="E42" s="1" t="s">
        <v>659</v>
      </c>
      <c r="F42" s="28" t="s">
        <v>863</v>
      </c>
      <c r="G42" s="28" t="s">
        <v>152</v>
      </c>
      <c r="H42" s="28" t="s">
        <v>862</v>
      </c>
      <c r="I42" s="28" t="s">
        <v>152</v>
      </c>
      <c r="J42" s="347"/>
    </row>
    <row r="43" spans="2:10" ht="43.5" customHeight="1">
      <c r="B43" s="351"/>
      <c r="C43" s="342"/>
      <c r="D43" s="345"/>
      <c r="E43" s="198" t="s">
        <v>664</v>
      </c>
      <c r="F43" s="195" t="s">
        <v>841</v>
      </c>
      <c r="G43" s="196" t="s">
        <v>117</v>
      </c>
      <c r="H43" s="197" t="s">
        <v>852</v>
      </c>
      <c r="I43" s="196" t="s">
        <v>117</v>
      </c>
      <c r="J43" s="348"/>
    </row>
    <row r="44" spans="2:10" ht="30">
      <c r="B44" s="337" t="s">
        <v>491</v>
      </c>
      <c r="C44" s="340" t="s">
        <v>864</v>
      </c>
      <c r="D44" s="343" t="s">
        <v>865</v>
      </c>
      <c r="E44" s="202" t="s">
        <v>838</v>
      </c>
      <c r="F44" s="24" t="s">
        <v>866</v>
      </c>
      <c r="G44" s="24" t="s">
        <v>152</v>
      </c>
      <c r="H44" s="24" t="s">
        <v>867</v>
      </c>
      <c r="I44" s="24" t="s">
        <v>152</v>
      </c>
      <c r="J44" s="346" t="s">
        <v>742</v>
      </c>
    </row>
    <row r="45" spans="2:10" ht="30">
      <c r="B45" s="338"/>
      <c r="C45" s="341"/>
      <c r="D45" s="344"/>
      <c r="E45" s="1" t="s">
        <v>659</v>
      </c>
      <c r="F45" s="28" t="s">
        <v>868</v>
      </c>
      <c r="G45" s="28" t="s">
        <v>152</v>
      </c>
      <c r="H45" s="28" t="s">
        <v>867</v>
      </c>
      <c r="I45" s="28" t="s">
        <v>152</v>
      </c>
      <c r="J45" s="347"/>
    </row>
    <row r="46" spans="2:10" ht="30">
      <c r="B46" s="339"/>
      <c r="C46" s="342"/>
      <c r="D46" s="345"/>
      <c r="E46" s="198" t="s">
        <v>664</v>
      </c>
      <c r="F46" s="195" t="s">
        <v>841</v>
      </c>
      <c r="G46" s="196" t="s">
        <v>117</v>
      </c>
      <c r="H46" s="197" t="s">
        <v>852</v>
      </c>
      <c r="I46" s="196" t="s">
        <v>117</v>
      </c>
      <c r="J46" s="348"/>
    </row>
    <row r="47" spans="2:10" ht="30">
      <c r="B47" s="337" t="s">
        <v>668</v>
      </c>
      <c r="C47" s="340" t="s">
        <v>669</v>
      </c>
      <c r="D47" s="343" t="s">
        <v>869</v>
      </c>
      <c r="E47" s="202" t="s">
        <v>653</v>
      </c>
      <c r="F47" s="24" t="s">
        <v>671</v>
      </c>
      <c r="G47" s="24" t="s">
        <v>152</v>
      </c>
      <c r="H47" s="24" t="s">
        <v>674</v>
      </c>
      <c r="I47" s="24" t="s">
        <v>152</v>
      </c>
      <c r="J47" s="346" t="s">
        <v>742</v>
      </c>
    </row>
    <row r="48" spans="2:10" ht="30">
      <c r="B48" s="338"/>
      <c r="C48" s="341"/>
      <c r="D48" s="344"/>
      <c r="E48" s="1" t="s">
        <v>659</v>
      </c>
      <c r="F48" s="28" t="s">
        <v>674</v>
      </c>
      <c r="G48" s="28" t="s">
        <v>152</v>
      </c>
      <c r="H48" s="28" t="s">
        <v>818</v>
      </c>
      <c r="I48" s="28" t="s">
        <v>152</v>
      </c>
      <c r="J48" s="347"/>
    </row>
    <row r="49" spans="2:10" ht="30">
      <c r="B49" s="339"/>
      <c r="C49" s="342"/>
      <c r="D49" s="345"/>
      <c r="E49" s="198" t="s">
        <v>664</v>
      </c>
      <c r="F49" s="195" t="s">
        <v>841</v>
      </c>
      <c r="G49" s="196" t="s">
        <v>117</v>
      </c>
      <c r="H49" s="197" t="s">
        <v>852</v>
      </c>
      <c r="I49" s="196" t="s">
        <v>117</v>
      </c>
      <c r="J49" s="348"/>
    </row>
    <row r="50" spans="2:10" ht="30">
      <c r="B50" s="337" t="s">
        <v>585</v>
      </c>
      <c r="C50" s="340" t="s">
        <v>870</v>
      </c>
      <c r="D50" s="343" t="s">
        <v>871</v>
      </c>
      <c r="E50" s="202" t="s">
        <v>653</v>
      </c>
      <c r="F50" s="24" t="s">
        <v>756</v>
      </c>
      <c r="G50" s="24" t="s">
        <v>152</v>
      </c>
      <c r="H50" s="24" t="s">
        <v>872</v>
      </c>
      <c r="I50" s="24" t="s">
        <v>152</v>
      </c>
      <c r="J50" s="346" t="s">
        <v>742</v>
      </c>
    </row>
    <row r="51" spans="2:10" ht="30">
      <c r="B51" s="338"/>
      <c r="C51" s="341"/>
      <c r="D51" s="344"/>
      <c r="E51" s="1" t="s">
        <v>659</v>
      </c>
      <c r="F51" s="28" t="s">
        <v>756</v>
      </c>
      <c r="G51" s="28" t="s">
        <v>152</v>
      </c>
      <c r="H51" s="28" t="s">
        <v>774</v>
      </c>
      <c r="I51" s="28" t="s">
        <v>152</v>
      </c>
      <c r="J51" s="347"/>
    </row>
    <row r="52" spans="2:10" ht="30">
      <c r="B52" s="339"/>
      <c r="C52" s="342"/>
      <c r="D52" s="345"/>
      <c r="E52" s="198" t="s">
        <v>664</v>
      </c>
      <c r="F52" s="195" t="s">
        <v>825</v>
      </c>
      <c r="G52" s="196" t="s">
        <v>117</v>
      </c>
      <c r="H52" s="197" t="s">
        <v>873</v>
      </c>
      <c r="I52" s="196" t="s">
        <v>117</v>
      </c>
      <c r="J52" s="348"/>
    </row>
    <row r="53" spans="2:10" ht="30.75" customHeight="1">
      <c r="B53" s="337" t="s">
        <v>874</v>
      </c>
      <c r="C53" s="340" t="s">
        <v>875</v>
      </c>
      <c r="D53" s="343" t="s">
        <v>876</v>
      </c>
      <c r="E53" s="202" t="s">
        <v>653</v>
      </c>
      <c r="F53" s="24" t="s">
        <v>662</v>
      </c>
      <c r="G53" s="24" t="s">
        <v>152</v>
      </c>
      <c r="H53" s="24" t="s">
        <v>877</v>
      </c>
      <c r="I53" s="24" t="s">
        <v>152</v>
      </c>
      <c r="J53" s="346"/>
    </row>
    <row r="54" spans="2:10" ht="30.75" customHeight="1">
      <c r="B54" s="338"/>
      <c r="C54" s="341"/>
      <c r="D54" s="344"/>
      <c r="E54" s="1" t="s">
        <v>659</v>
      </c>
      <c r="F54" s="28" t="s">
        <v>878</v>
      </c>
      <c r="G54" s="28" t="s">
        <v>152</v>
      </c>
      <c r="H54" s="28" t="s">
        <v>662</v>
      </c>
      <c r="I54" s="28" t="s">
        <v>152</v>
      </c>
      <c r="J54" s="347"/>
    </row>
    <row r="55" spans="2:10" ht="30.75" customHeight="1">
      <c r="B55" s="339"/>
      <c r="C55" s="342"/>
      <c r="D55" s="345"/>
      <c r="E55" s="198" t="s">
        <v>664</v>
      </c>
      <c r="F55" s="195" t="s">
        <v>873</v>
      </c>
      <c r="G55" s="196" t="s">
        <v>117</v>
      </c>
      <c r="H55" s="197" t="s">
        <v>696</v>
      </c>
      <c r="I55" s="196" t="s">
        <v>117</v>
      </c>
      <c r="J55" s="348"/>
    </row>
    <row r="56" spans="2:10" ht="30.75" customHeight="1">
      <c r="B56" s="337" t="s">
        <v>879</v>
      </c>
      <c r="C56" s="340" t="s">
        <v>880</v>
      </c>
      <c r="D56" s="343" t="s">
        <v>881</v>
      </c>
      <c r="E56" s="202" t="s">
        <v>882</v>
      </c>
      <c r="F56" s="24" t="s">
        <v>862</v>
      </c>
      <c r="G56" s="24" t="s">
        <v>152</v>
      </c>
      <c r="H56" s="24" t="s">
        <v>863</v>
      </c>
      <c r="I56" s="24" t="s">
        <v>152</v>
      </c>
      <c r="J56" s="346" t="s">
        <v>742</v>
      </c>
    </row>
    <row r="57" spans="2:10" ht="30.75" customHeight="1">
      <c r="B57" s="338"/>
      <c r="C57" s="341"/>
      <c r="D57" s="344"/>
      <c r="E57" s="1" t="s">
        <v>659</v>
      </c>
      <c r="F57" s="28" t="s">
        <v>863</v>
      </c>
      <c r="G57" s="28" t="s">
        <v>152</v>
      </c>
      <c r="H57" s="28" t="s">
        <v>862</v>
      </c>
      <c r="I57" s="28" t="s">
        <v>152</v>
      </c>
      <c r="J57" s="347"/>
    </row>
    <row r="58" spans="2:10" ht="30.75" customHeight="1">
      <c r="B58" s="339"/>
      <c r="C58" s="342"/>
      <c r="D58" s="345"/>
      <c r="E58" s="198" t="s">
        <v>664</v>
      </c>
      <c r="F58" s="195" t="s">
        <v>841</v>
      </c>
      <c r="G58" s="196" t="s">
        <v>117</v>
      </c>
      <c r="H58" s="197" t="s">
        <v>859</v>
      </c>
      <c r="I58" s="196" t="s">
        <v>117</v>
      </c>
      <c r="J58" s="348"/>
    </row>
    <row r="59" spans="2:10" ht="30.75" customHeight="1">
      <c r="B59" s="337" t="s">
        <v>883</v>
      </c>
      <c r="C59" s="340" t="s">
        <v>884</v>
      </c>
      <c r="D59" s="343" t="s">
        <v>885</v>
      </c>
      <c r="E59" s="202" t="s">
        <v>882</v>
      </c>
      <c r="F59" s="24" t="s">
        <v>886</v>
      </c>
      <c r="G59" s="24" t="s">
        <v>887</v>
      </c>
      <c r="H59" s="24" t="s">
        <v>766</v>
      </c>
      <c r="I59" s="24" t="s">
        <v>887</v>
      </c>
      <c r="J59" s="346" t="s">
        <v>742</v>
      </c>
    </row>
    <row r="60" spans="2:10" ht="30.75" customHeight="1">
      <c r="B60" s="338"/>
      <c r="C60" s="341"/>
      <c r="D60" s="344"/>
      <c r="E60" s="1" t="s">
        <v>659</v>
      </c>
      <c r="F60" s="28" t="s">
        <v>756</v>
      </c>
      <c r="G60" s="28" t="s">
        <v>152</v>
      </c>
      <c r="H60" s="28" t="s">
        <v>774</v>
      </c>
      <c r="I60" s="28" t="s">
        <v>152</v>
      </c>
      <c r="J60" s="347"/>
    </row>
    <row r="61" spans="2:10" ht="30.75" customHeight="1">
      <c r="B61" s="339"/>
      <c r="C61" s="342"/>
      <c r="D61" s="345"/>
      <c r="E61" s="198" t="s">
        <v>664</v>
      </c>
      <c r="F61" s="195" t="s">
        <v>873</v>
      </c>
      <c r="G61" s="196" t="s">
        <v>117</v>
      </c>
      <c r="H61" s="197" t="s">
        <v>696</v>
      </c>
      <c r="I61" s="196" t="s">
        <v>117</v>
      </c>
      <c r="J61" s="348"/>
    </row>
    <row r="62" spans="2:10" ht="30.75" customHeight="1">
      <c r="B62" s="337" t="s">
        <v>888</v>
      </c>
      <c r="C62" s="340" t="s">
        <v>889</v>
      </c>
      <c r="D62" s="343" t="s">
        <v>890</v>
      </c>
      <c r="E62" s="202" t="s">
        <v>882</v>
      </c>
      <c r="F62" s="24" t="s">
        <v>662</v>
      </c>
      <c r="G62" s="24" t="s">
        <v>152</v>
      </c>
      <c r="H62" s="24" t="s">
        <v>824</v>
      </c>
      <c r="I62" s="24" t="s">
        <v>152</v>
      </c>
      <c r="J62" s="346" t="s">
        <v>742</v>
      </c>
    </row>
    <row r="63" spans="2:10" ht="30.75" customHeight="1">
      <c r="B63" s="338"/>
      <c r="C63" s="341"/>
      <c r="D63" s="344"/>
      <c r="E63" s="1" t="s">
        <v>659</v>
      </c>
      <c r="F63" s="28" t="s">
        <v>824</v>
      </c>
      <c r="G63" s="28" t="s">
        <v>152</v>
      </c>
      <c r="H63" s="28" t="s">
        <v>840</v>
      </c>
      <c r="I63" s="28" t="s">
        <v>152</v>
      </c>
      <c r="J63" s="347"/>
    </row>
    <row r="64" spans="2:10" ht="30.75" customHeight="1">
      <c r="B64" s="339"/>
      <c r="C64" s="342"/>
      <c r="D64" s="345"/>
      <c r="E64" s="198" t="s">
        <v>664</v>
      </c>
      <c r="F64" s="195" t="s">
        <v>873</v>
      </c>
      <c r="G64" s="196" t="s">
        <v>117</v>
      </c>
      <c r="H64" s="197" t="s">
        <v>696</v>
      </c>
      <c r="I64" s="196" t="s">
        <v>117</v>
      </c>
      <c r="J64" s="348"/>
    </row>
    <row r="65" spans="2:10" ht="30">
      <c r="B65" s="337" t="s">
        <v>891</v>
      </c>
      <c r="C65" s="340" t="s">
        <v>892</v>
      </c>
      <c r="D65" s="343" t="s">
        <v>893</v>
      </c>
      <c r="E65" s="202" t="s">
        <v>882</v>
      </c>
      <c r="F65" s="24" t="s">
        <v>866</v>
      </c>
      <c r="G65" s="24" t="s">
        <v>152</v>
      </c>
      <c r="H65" s="24" t="s">
        <v>867</v>
      </c>
      <c r="I65" s="24" t="s">
        <v>152</v>
      </c>
      <c r="J65" s="346" t="s">
        <v>742</v>
      </c>
    </row>
    <row r="66" spans="2:10" ht="30">
      <c r="B66" s="338"/>
      <c r="C66" s="341"/>
      <c r="D66" s="344"/>
      <c r="E66" s="1" t="s">
        <v>659</v>
      </c>
      <c r="F66" s="28" t="s">
        <v>867</v>
      </c>
      <c r="G66" s="28" t="s">
        <v>152</v>
      </c>
      <c r="H66" s="28" t="s">
        <v>868</v>
      </c>
      <c r="I66" s="28" t="s">
        <v>152</v>
      </c>
      <c r="J66" s="347"/>
    </row>
    <row r="67" spans="2:10" ht="30">
      <c r="B67" s="339"/>
      <c r="C67" s="342"/>
      <c r="D67" s="345"/>
      <c r="E67" s="198" t="s">
        <v>664</v>
      </c>
      <c r="F67" s="195" t="s">
        <v>841</v>
      </c>
      <c r="G67" s="196" t="s">
        <v>117</v>
      </c>
      <c r="H67" s="197" t="s">
        <v>859</v>
      </c>
      <c r="I67" s="196" t="s">
        <v>117</v>
      </c>
      <c r="J67" s="348"/>
    </row>
    <row r="68" spans="2:10" ht="30.75" customHeight="1">
      <c r="B68" s="337" t="s">
        <v>894</v>
      </c>
      <c r="C68" s="340" t="s">
        <v>895</v>
      </c>
      <c r="D68" s="343" t="s">
        <v>896</v>
      </c>
      <c r="E68" s="202" t="s">
        <v>882</v>
      </c>
      <c r="F68" s="24" t="s">
        <v>662</v>
      </c>
      <c r="G68" s="24" t="s">
        <v>152</v>
      </c>
      <c r="H68" s="24" t="s">
        <v>877</v>
      </c>
      <c r="I68" s="24" t="s">
        <v>152</v>
      </c>
      <c r="J68" s="346" t="s">
        <v>742</v>
      </c>
    </row>
    <row r="69" spans="2:10" ht="30.75" customHeight="1">
      <c r="B69" s="338"/>
      <c r="C69" s="341"/>
      <c r="D69" s="344"/>
      <c r="E69" s="1" t="s">
        <v>659</v>
      </c>
      <c r="F69" s="28" t="s">
        <v>878</v>
      </c>
      <c r="G69" s="28" t="s">
        <v>152</v>
      </c>
      <c r="H69" s="28" t="s">
        <v>840</v>
      </c>
      <c r="I69" s="28" t="s">
        <v>152</v>
      </c>
      <c r="J69" s="347"/>
    </row>
    <row r="70" spans="2:10" ht="30.75" customHeight="1">
      <c r="B70" s="339"/>
      <c r="C70" s="342"/>
      <c r="D70" s="345"/>
      <c r="E70" s="198" t="s">
        <v>664</v>
      </c>
      <c r="F70" s="195" t="s">
        <v>873</v>
      </c>
      <c r="G70" s="196" t="s">
        <v>117</v>
      </c>
      <c r="H70" s="197" t="s">
        <v>696</v>
      </c>
      <c r="I70" s="196" t="s">
        <v>117</v>
      </c>
      <c r="J70" s="348"/>
    </row>
  </sheetData>
  <mergeCells count="89">
    <mergeCell ref="B53:B55"/>
    <mergeCell ref="C53:C55"/>
    <mergeCell ref="D53:D55"/>
    <mergeCell ref="J53:J55"/>
    <mergeCell ref="B59:B61"/>
    <mergeCell ref="C59:C61"/>
    <mergeCell ref="D59:D61"/>
    <mergeCell ref="J59:J61"/>
    <mergeCell ref="B1:J1"/>
    <mergeCell ref="J9:J11"/>
    <mergeCell ref="B12:B14"/>
    <mergeCell ref="C12:C14"/>
    <mergeCell ref="D12:D14"/>
    <mergeCell ref="B6:B8"/>
    <mergeCell ref="C6:C8"/>
    <mergeCell ref="D6:D8"/>
    <mergeCell ref="J6:J8"/>
    <mergeCell ref="J12:J14"/>
    <mergeCell ref="B9:B11"/>
    <mergeCell ref="C9:C11"/>
    <mergeCell ref="B3:B5"/>
    <mergeCell ref="C3:C5"/>
    <mergeCell ref="D3:D5"/>
    <mergeCell ref="J3:J5"/>
    <mergeCell ref="D9:D11"/>
    <mergeCell ref="J21:J23"/>
    <mergeCell ref="B21:B23"/>
    <mergeCell ref="C21:C23"/>
    <mergeCell ref="D21:D23"/>
    <mergeCell ref="J15:J17"/>
    <mergeCell ref="B18:B20"/>
    <mergeCell ref="C18:C20"/>
    <mergeCell ref="D18:D20"/>
    <mergeCell ref="J18:J20"/>
    <mergeCell ref="B15:B17"/>
    <mergeCell ref="C15:C17"/>
    <mergeCell ref="D15:D17"/>
    <mergeCell ref="B38:B40"/>
    <mergeCell ref="C38:C40"/>
    <mergeCell ref="D38:D40"/>
    <mergeCell ref="J38:J40"/>
    <mergeCell ref="B24:B26"/>
    <mergeCell ref="C24:C26"/>
    <mergeCell ref="D24:D26"/>
    <mergeCell ref="J24:J26"/>
    <mergeCell ref="B27:B31"/>
    <mergeCell ref="C27:C31"/>
    <mergeCell ref="D27:D31"/>
    <mergeCell ref="J27:J31"/>
    <mergeCell ref="B32:B34"/>
    <mergeCell ref="C32:C34"/>
    <mergeCell ref="D32:D34"/>
    <mergeCell ref="J32:J34"/>
    <mergeCell ref="B35:B37"/>
    <mergeCell ref="C35:C37"/>
    <mergeCell ref="D35:D37"/>
    <mergeCell ref="J35:J37"/>
    <mergeCell ref="B68:B70"/>
    <mergeCell ref="C68:C70"/>
    <mergeCell ref="D68:D70"/>
    <mergeCell ref="J68:J70"/>
    <mergeCell ref="B50:B52"/>
    <mergeCell ref="C50:C52"/>
    <mergeCell ref="D50:D52"/>
    <mergeCell ref="J50:J52"/>
    <mergeCell ref="B56:B58"/>
    <mergeCell ref="C56:C58"/>
    <mergeCell ref="D56:D58"/>
    <mergeCell ref="J56:J58"/>
    <mergeCell ref="B62:B64"/>
    <mergeCell ref="C62:C64"/>
    <mergeCell ref="D62:D64"/>
    <mergeCell ref="J62:J64"/>
    <mergeCell ref="B65:B67"/>
    <mergeCell ref="C65:C67"/>
    <mergeCell ref="D65:D67"/>
    <mergeCell ref="J65:J67"/>
    <mergeCell ref="B47:B49"/>
    <mergeCell ref="C47:C49"/>
    <mergeCell ref="D47:D49"/>
    <mergeCell ref="J47:J49"/>
    <mergeCell ref="B41:B43"/>
    <mergeCell ref="C41:C43"/>
    <mergeCell ref="D41:D43"/>
    <mergeCell ref="J41:J43"/>
    <mergeCell ref="B44:B46"/>
    <mergeCell ref="C44:C46"/>
    <mergeCell ref="D44:D46"/>
    <mergeCell ref="J44:J46"/>
  </mergeCells>
  <pageMargins left="0.25" right="0.25" top="0.75" bottom="0.75" header="0.3" footer="0.3"/>
  <pageSetup paperSize="9" scale="40" fitToWidth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C4184-A0ED-4774-AC31-F10434675985}">
  <sheetPr>
    <pageSetUpPr fitToPage="1"/>
  </sheetPr>
  <dimension ref="B1:J70"/>
  <sheetViews>
    <sheetView zoomScale="90" zoomScaleNormal="90" workbookViewId="0">
      <pane ySplit="2" topLeftCell="A10" activePane="bottomLeft" state="frozen"/>
      <selection pane="bottomLeft" activeCell="J15" sqref="J15:J17"/>
    </sheetView>
  </sheetViews>
  <sheetFormatPr defaultRowHeight="15"/>
  <cols>
    <col min="1" max="1" width="3.42578125" customWidth="1"/>
    <col min="2" max="2" width="27.42578125" customWidth="1"/>
    <col min="3" max="3" width="59.140625" style="231" customWidth="1"/>
    <col min="4" max="4" width="22.85546875" customWidth="1"/>
    <col min="5" max="5" width="18.42578125" customWidth="1"/>
    <col min="6" max="6" width="50.7109375" customWidth="1"/>
    <col min="7" max="7" width="15" customWidth="1"/>
    <col min="8" max="8" width="44.42578125" customWidth="1"/>
    <col min="9" max="9" width="13.42578125" bestFit="1" customWidth="1"/>
    <col min="10" max="10" width="29.85546875" customWidth="1"/>
    <col min="11" max="11" width="11.85546875" bestFit="1" customWidth="1"/>
  </cols>
  <sheetData>
    <row r="1" spans="2:10" ht="87" customHeight="1">
      <c r="B1" s="333" t="s">
        <v>642</v>
      </c>
      <c r="C1" s="334"/>
      <c r="D1" s="334"/>
      <c r="E1" s="334"/>
      <c r="F1" s="334"/>
      <c r="G1" s="334"/>
      <c r="H1" s="334"/>
      <c r="I1" s="334"/>
      <c r="J1" s="335"/>
    </row>
    <row r="2" spans="2:10" ht="42.75" customHeight="1">
      <c r="B2" s="48" t="s">
        <v>2</v>
      </c>
      <c r="C2" s="49" t="s">
        <v>643</v>
      </c>
      <c r="D2" s="49" t="s">
        <v>644</v>
      </c>
      <c r="E2" s="50" t="s">
        <v>645</v>
      </c>
      <c r="F2" s="50" t="s">
        <v>646</v>
      </c>
      <c r="G2" s="49" t="s">
        <v>647</v>
      </c>
      <c r="H2" s="50" t="s">
        <v>648</v>
      </c>
      <c r="I2" s="51" t="s">
        <v>647</v>
      </c>
      <c r="J2" s="6" t="s">
        <v>649</v>
      </c>
    </row>
    <row r="3" spans="2:10" ht="50.1" customHeight="1">
      <c r="B3" s="372" t="s">
        <v>897</v>
      </c>
      <c r="C3" s="360" t="s">
        <v>898</v>
      </c>
      <c r="D3" s="321" t="s">
        <v>899</v>
      </c>
      <c r="E3" s="5" t="s">
        <v>882</v>
      </c>
      <c r="F3" s="24" t="s">
        <v>654</v>
      </c>
      <c r="G3" s="24" t="s">
        <v>163</v>
      </c>
      <c r="H3" s="24" t="s">
        <v>710</v>
      </c>
      <c r="I3" s="19" t="s">
        <v>163</v>
      </c>
      <c r="J3" s="297" t="s">
        <v>742</v>
      </c>
    </row>
    <row r="4" spans="2:10" ht="50.1" customHeight="1">
      <c r="B4" s="373"/>
      <c r="C4" s="353"/>
      <c r="D4" s="322"/>
      <c r="E4" s="1" t="s">
        <v>659</v>
      </c>
      <c r="F4" s="15" t="s">
        <v>774</v>
      </c>
      <c r="G4" s="41" t="s">
        <v>152</v>
      </c>
      <c r="H4" s="39" t="s">
        <v>900</v>
      </c>
      <c r="I4" s="39" t="s">
        <v>152</v>
      </c>
      <c r="J4" s="298"/>
    </row>
    <row r="5" spans="2:10" ht="50.1" customHeight="1">
      <c r="B5" s="374"/>
      <c r="C5" s="362"/>
      <c r="D5" s="323"/>
      <c r="E5" s="4" t="s">
        <v>664</v>
      </c>
      <c r="F5" s="110" t="s">
        <v>873</v>
      </c>
      <c r="G5" s="43" t="s">
        <v>117</v>
      </c>
      <c r="H5" s="27" t="s">
        <v>696</v>
      </c>
      <c r="I5" s="42" t="s">
        <v>117</v>
      </c>
      <c r="J5" s="299"/>
    </row>
    <row r="6" spans="2:10" ht="50.1" customHeight="1">
      <c r="B6" s="369" t="s">
        <v>901</v>
      </c>
      <c r="C6" s="363" t="s">
        <v>902</v>
      </c>
      <c r="D6" s="288" t="s">
        <v>903</v>
      </c>
      <c r="E6" s="5" t="s">
        <v>882</v>
      </c>
      <c r="F6" s="24" t="s">
        <v>662</v>
      </c>
      <c r="G6" s="24" t="s">
        <v>152</v>
      </c>
      <c r="H6" s="24" t="s">
        <v>840</v>
      </c>
      <c r="I6" s="19" t="s">
        <v>152</v>
      </c>
      <c r="J6" s="297" t="s">
        <v>742</v>
      </c>
    </row>
    <row r="7" spans="2:10" ht="50.1" customHeight="1">
      <c r="B7" s="370"/>
      <c r="C7" s="364"/>
      <c r="D7" s="289"/>
      <c r="E7" s="1" t="s">
        <v>659</v>
      </c>
      <c r="F7" s="119" t="s">
        <v>840</v>
      </c>
      <c r="G7" s="28" t="s">
        <v>152</v>
      </c>
      <c r="H7" s="119" t="s">
        <v>662</v>
      </c>
      <c r="I7" s="10" t="s">
        <v>152</v>
      </c>
      <c r="J7" s="298"/>
    </row>
    <row r="8" spans="2:10" ht="50.1" customHeight="1">
      <c r="B8" s="371"/>
      <c r="C8" s="365"/>
      <c r="D8" s="290"/>
      <c r="E8" s="4" t="s">
        <v>664</v>
      </c>
      <c r="F8" s="59" t="s">
        <v>873</v>
      </c>
      <c r="G8" s="12" t="s">
        <v>117</v>
      </c>
      <c r="H8" s="59" t="s">
        <v>696</v>
      </c>
      <c r="I8" s="13" t="s">
        <v>117</v>
      </c>
      <c r="J8" s="299"/>
    </row>
    <row r="9" spans="2:10" ht="50.1" customHeight="1">
      <c r="B9" s="369" t="s">
        <v>904</v>
      </c>
      <c r="C9" s="360" t="s">
        <v>905</v>
      </c>
      <c r="D9" s="288" t="s">
        <v>906</v>
      </c>
      <c r="E9" s="5" t="s">
        <v>882</v>
      </c>
      <c r="F9" s="24" t="s">
        <v>784</v>
      </c>
      <c r="G9" s="19" t="s">
        <v>152</v>
      </c>
      <c r="H9" s="24" t="s">
        <v>797</v>
      </c>
      <c r="I9" s="19" t="s">
        <v>152</v>
      </c>
      <c r="J9" s="297" t="s">
        <v>742</v>
      </c>
    </row>
    <row r="10" spans="2:10" ht="50.1" customHeight="1">
      <c r="B10" s="370"/>
      <c r="C10" s="353"/>
      <c r="D10" s="289"/>
      <c r="E10" s="1" t="s">
        <v>659</v>
      </c>
      <c r="F10" s="28" t="s">
        <v>907</v>
      </c>
      <c r="G10" s="8" t="s">
        <v>152</v>
      </c>
      <c r="H10" s="28" t="s">
        <v>797</v>
      </c>
      <c r="I10" s="20" t="s">
        <v>152</v>
      </c>
      <c r="J10" s="298"/>
    </row>
    <row r="11" spans="2:10" ht="50.1" customHeight="1">
      <c r="B11" s="371"/>
      <c r="C11" s="362"/>
      <c r="D11" s="290"/>
      <c r="E11" s="4" t="s">
        <v>664</v>
      </c>
      <c r="F11" s="59" t="s">
        <v>873</v>
      </c>
      <c r="G11" s="12" t="s">
        <v>117</v>
      </c>
      <c r="H11" s="59" t="s">
        <v>696</v>
      </c>
      <c r="I11" s="13" t="s">
        <v>117</v>
      </c>
      <c r="J11" s="299"/>
    </row>
    <row r="12" spans="2:10" ht="50.1" customHeight="1">
      <c r="B12" s="369" t="s">
        <v>908</v>
      </c>
      <c r="C12" s="360" t="s">
        <v>909</v>
      </c>
      <c r="D12" s="288" t="s">
        <v>910</v>
      </c>
      <c r="E12" s="5" t="s">
        <v>882</v>
      </c>
      <c r="F12" s="24" t="s">
        <v>911</v>
      </c>
      <c r="G12" s="24" t="s">
        <v>152</v>
      </c>
      <c r="H12" s="24" t="s">
        <v>912</v>
      </c>
      <c r="I12" s="19" t="s">
        <v>152</v>
      </c>
      <c r="J12" s="297" t="s">
        <v>742</v>
      </c>
    </row>
    <row r="13" spans="2:10" ht="50.1" customHeight="1">
      <c r="B13" s="370"/>
      <c r="C13" s="353"/>
      <c r="D13" s="289"/>
      <c r="E13" s="1" t="s">
        <v>659</v>
      </c>
      <c r="F13" s="28" t="s">
        <v>912</v>
      </c>
      <c r="G13" s="28" t="s">
        <v>152</v>
      </c>
      <c r="H13" s="28" t="s">
        <v>913</v>
      </c>
      <c r="I13" s="10" t="s">
        <v>152</v>
      </c>
      <c r="J13" s="298"/>
    </row>
    <row r="14" spans="2:10" ht="50.1" customHeight="1">
      <c r="B14" s="371"/>
      <c r="C14" s="362"/>
      <c r="D14" s="290"/>
      <c r="E14" s="4" t="s">
        <v>664</v>
      </c>
      <c r="F14" s="59" t="s">
        <v>873</v>
      </c>
      <c r="G14" s="12" t="s">
        <v>117</v>
      </c>
      <c r="H14" s="59" t="s">
        <v>696</v>
      </c>
      <c r="I14" s="13" t="s">
        <v>117</v>
      </c>
      <c r="J14" s="299"/>
    </row>
    <row r="15" spans="2:10" ht="50.1" customHeight="1">
      <c r="B15" s="369" t="s">
        <v>914</v>
      </c>
      <c r="C15" s="360" t="s">
        <v>915</v>
      </c>
      <c r="D15" s="288" t="s">
        <v>916</v>
      </c>
      <c r="E15" s="5" t="s">
        <v>882</v>
      </c>
      <c r="F15" s="24" t="s">
        <v>710</v>
      </c>
      <c r="G15" s="24" t="s">
        <v>163</v>
      </c>
      <c r="H15" s="24" t="s">
        <v>917</v>
      </c>
      <c r="I15" s="19" t="s">
        <v>163</v>
      </c>
      <c r="J15" s="297" t="s">
        <v>742</v>
      </c>
    </row>
    <row r="16" spans="2:10" ht="50.1" customHeight="1">
      <c r="B16" s="370"/>
      <c r="C16" s="353"/>
      <c r="D16" s="289"/>
      <c r="E16" s="1" t="s">
        <v>659</v>
      </c>
      <c r="F16" s="28" t="s">
        <v>774</v>
      </c>
      <c r="G16" s="28" t="s">
        <v>152</v>
      </c>
      <c r="H16" s="28" t="s">
        <v>900</v>
      </c>
      <c r="I16" s="10" t="s">
        <v>152</v>
      </c>
      <c r="J16" s="298"/>
    </row>
    <row r="17" spans="2:10" ht="50.1" customHeight="1">
      <c r="B17" s="371"/>
      <c r="C17" s="362"/>
      <c r="D17" s="290"/>
      <c r="E17" s="4" t="s">
        <v>664</v>
      </c>
      <c r="F17" s="59" t="s">
        <v>873</v>
      </c>
      <c r="G17" s="12" t="s">
        <v>117</v>
      </c>
      <c r="H17" s="27" t="s">
        <v>696</v>
      </c>
      <c r="I17" s="12" t="s">
        <v>117</v>
      </c>
      <c r="J17" s="299"/>
    </row>
    <row r="18" spans="2:10" ht="50.1" customHeight="1">
      <c r="B18" s="369"/>
      <c r="C18" s="360"/>
      <c r="D18" s="288"/>
      <c r="E18" s="5"/>
      <c r="F18" s="24"/>
      <c r="G18" s="24"/>
      <c r="H18" s="24"/>
      <c r="I18" s="19"/>
      <c r="J18" s="297"/>
    </row>
    <row r="19" spans="2:10" ht="50.1" customHeight="1">
      <c r="B19" s="370"/>
      <c r="C19" s="353"/>
      <c r="D19" s="289"/>
      <c r="E19" s="1"/>
      <c r="F19" s="28"/>
      <c r="G19" s="28"/>
      <c r="H19" s="28"/>
      <c r="I19" s="10"/>
      <c r="J19" s="298"/>
    </row>
    <row r="20" spans="2:10" ht="50.1" customHeight="1">
      <c r="B20" s="371"/>
      <c r="C20" s="362"/>
      <c r="D20" s="290"/>
      <c r="E20" s="4"/>
      <c r="F20" s="59"/>
      <c r="G20" s="12"/>
      <c r="H20" s="27"/>
      <c r="I20" s="12"/>
      <c r="J20" s="299"/>
    </row>
    <row r="21" spans="2:10" ht="50.1" customHeight="1">
      <c r="B21" s="369"/>
      <c r="C21" s="360"/>
      <c r="D21" s="288"/>
      <c r="E21" s="5"/>
      <c r="F21" s="24"/>
      <c r="G21" s="24"/>
      <c r="H21" s="24"/>
      <c r="I21" s="19"/>
      <c r="J21" s="297"/>
    </row>
    <row r="22" spans="2:10" ht="50.1" customHeight="1">
      <c r="B22" s="370"/>
      <c r="C22" s="353"/>
      <c r="D22" s="289"/>
      <c r="E22" s="1"/>
      <c r="F22" s="28"/>
      <c r="G22" s="28"/>
      <c r="H22" s="28"/>
      <c r="I22" s="28"/>
      <c r="J22" s="298"/>
    </row>
    <row r="23" spans="2:10" ht="50.1" customHeight="1">
      <c r="B23" s="375"/>
      <c r="C23" s="353"/>
      <c r="D23" s="361"/>
      <c r="E23" s="185"/>
      <c r="F23" s="190"/>
      <c r="G23" s="191"/>
      <c r="H23" s="192"/>
      <c r="I23" s="191"/>
      <c r="J23" s="298"/>
    </row>
    <row r="24" spans="2:10" ht="50.25" customHeight="1">
      <c r="B24" s="376"/>
      <c r="C24" s="352"/>
      <c r="D24" s="343"/>
      <c r="E24" s="184"/>
      <c r="F24" s="193"/>
      <c r="G24" s="193"/>
      <c r="H24" s="193"/>
      <c r="I24" s="194"/>
      <c r="J24" s="346"/>
    </row>
    <row r="25" spans="2:10" ht="50.25" customHeight="1">
      <c r="B25" s="377"/>
      <c r="C25" s="353"/>
      <c r="D25" s="344"/>
      <c r="E25" s="1"/>
      <c r="F25" s="28"/>
      <c r="G25" s="28"/>
      <c r="H25" s="28"/>
      <c r="I25" s="28"/>
      <c r="J25" s="347"/>
    </row>
    <row r="26" spans="2:10" ht="50.25" customHeight="1">
      <c r="B26" s="378"/>
      <c r="C26" s="354"/>
      <c r="D26" s="345"/>
      <c r="E26" s="198"/>
      <c r="F26" s="195"/>
      <c r="G26" s="196"/>
      <c r="H26" s="197"/>
      <c r="I26" s="196"/>
      <c r="J26" s="348"/>
    </row>
    <row r="27" spans="2:10" ht="50.1" customHeight="1">
      <c r="B27" s="376"/>
      <c r="C27" s="352"/>
      <c r="D27" s="343"/>
      <c r="E27" s="202"/>
      <c r="F27" s="203"/>
      <c r="G27" s="203"/>
      <c r="H27" s="203"/>
      <c r="I27" s="203"/>
      <c r="J27" s="346"/>
    </row>
    <row r="28" spans="2:10" ht="50.1" customHeight="1">
      <c r="B28" s="379"/>
      <c r="C28" s="353"/>
      <c r="D28" s="357"/>
      <c r="E28" s="199"/>
      <c r="F28" s="200"/>
      <c r="G28" s="200"/>
      <c r="H28" s="200"/>
      <c r="I28" s="201"/>
      <c r="J28" s="347"/>
    </row>
    <row r="29" spans="2:10" ht="50.1" customHeight="1">
      <c r="B29" s="377"/>
      <c r="C29" s="353"/>
      <c r="D29" s="344"/>
      <c r="E29" s="1"/>
      <c r="F29" s="28"/>
      <c r="G29" s="28"/>
      <c r="H29" s="28"/>
      <c r="I29" s="28"/>
      <c r="J29" s="347"/>
    </row>
    <row r="30" spans="2:10" ht="50.1" customHeight="1">
      <c r="B30" s="380"/>
      <c r="C30" s="353"/>
      <c r="D30" s="358"/>
      <c r="E30" s="1"/>
      <c r="F30" s="28"/>
      <c r="G30" s="28"/>
      <c r="H30" s="33"/>
      <c r="I30" s="33"/>
      <c r="J30" s="347"/>
    </row>
    <row r="31" spans="2:10" ht="50.1" customHeight="1">
      <c r="B31" s="378"/>
      <c r="C31" s="354"/>
      <c r="D31" s="345"/>
      <c r="E31" s="198"/>
      <c r="F31" s="195"/>
      <c r="G31" s="196"/>
      <c r="H31" s="197"/>
      <c r="I31" s="196"/>
      <c r="J31" s="348"/>
    </row>
    <row r="32" spans="2:10" ht="48.75" customHeight="1">
      <c r="B32" s="376"/>
      <c r="C32" s="352"/>
      <c r="D32" s="343"/>
      <c r="E32" s="202"/>
      <c r="F32" s="203"/>
      <c r="G32" s="203"/>
      <c r="H32" s="203"/>
      <c r="I32" s="203"/>
      <c r="J32" s="346"/>
    </row>
    <row r="33" spans="2:10" ht="48.75" customHeight="1">
      <c r="B33" s="377"/>
      <c r="C33" s="353"/>
      <c r="D33" s="344"/>
      <c r="E33" s="1"/>
      <c r="F33" s="28"/>
      <c r="G33" s="28"/>
      <c r="H33" s="28"/>
      <c r="I33" s="28"/>
      <c r="J33" s="347"/>
    </row>
    <row r="34" spans="2:10" ht="48.75" customHeight="1">
      <c r="B34" s="378"/>
      <c r="C34" s="354"/>
      <c r="D34" s="345"/>
      <c r="E34" s="198"/>
      <c r="F34" s="195"/>
      <c r="G34" s="196"/>
      <c r="H34" s="197"/>
      <c r="I34" s="196"/>
      <c r="J34" s="348"/>
    </row>
    <row r="35" spans="2:10" ht="50.25" customHeight="1">
      <c r="B35" s="376"/>
      <c r="C35" s="352"/>
      <c r="D35" s="343"/>
      <c r="E35" s="202"/>
      <c r="F35" s="24"/>
      <c r="G35" s="24"/>
      <c r="H35" s="24"/>
      <c r="I35" s="24"/>
      <c r="J35" s="346"/>
    </row>
    <row r="36" spans="2:10" ht="36.75" customHeight="1">
      <c r="B36" s="377"/>
      <c r="C36" s="353"/>
      <c r="D36" s="344"/>
      <c r="E36" s="1"/>
      <c r="F36" s="28"/>
      <c r="G36" s="28"/>
      <c r="H36" s="28"/>
      <c r="I36" s="28"/>
      <c r="J36" s="347"/>
    </row>
    <row r="37" spans="2:10" ht="47.25" customHeight="1">
      <c r="B37" s="378"/>
      <c r="C37" s="354"/>
      <c r="D37" s="345"/>
      <c r="E37" s="198"/>
      <c r="F37" s="195"/>
      <c r="G37" s="196"/>
      <c r="H37" s="197"/>
      <c r="I37" s="196"/>
      <c r="J37" s="348"/>
    </row>
    <row r="38" spans="2:10" ht="43.5" customHeight="1">
      <c r="B38" s="376"/>
      <c r="C38" s="340"/>
      <c r="D38" s="343"/>
      <c r="E38" s="202"/>
      <c r="F38" s="24"/>
      <c r="G38" s="24"/>
      <c r="H38" s="24"/>
      <c r="I38" s="24"/>
      <c r="J38" s="346"/>
    </row>
    <row r="39" spans="2:10" ht="43.5" customHeight="1">
      <c r="B39" s="377"/>
      <c r="C39" s="341"/>
      <c r="D39" s="344"/>
      <c r="E39" s="1"/>
      <c r="F39" s="28"/>
      <c r="G39" s="28"/>
      <c r="H39" s="28"/>
      <c r="I39" s="28"/>
      <c r="J39" s="347"/>
    </row>
    <row r="40" spans="2:10" ht="43.5" customHeight="1">
      <c r="B40" s="378"/>
      <c r="C40" s="342"/>
      <c r="D40" s="345"/>
      <c r="E40" s="198"/>
      <c r="F40" s="195"/>
      <c r="G40" s="196"/>
      <c r="H40" s="197"/>
      <c r="I40" s="196"/>
      <c r="J40" s="348"/>
    </row>
    <row r="41" spans="2:10" ht="43.5" customHeight="1">
      <c r="B41" s="376"/>
      <c r="C41" s="340"/>
      <c r="D41" s="343"/>
      <c r="E41" s="202"/>
      <c r="F41" s="24"/>
      <c r="G41" s="24"/>
      <c r="H41" s="24"/>
      <c r="I41" s="24"/>
      <c r="J41" s="346"/>
    </row>
    <row r="42" spans="2:10" ht="43.5" customHeight="1">
      <c r="B42" s="377"/>
      <c r="C42" s="341"/>
      <c r="D42" s="344"/>
      <c r="E42" s="1"/>
      <c r="F42" s="28"/>
      <c r="G42" s="28"/>
      <c r="H42" s="28"/>
      <c r="I42" s="28"/>
      <c r="J42" s="347"/>
    </row>
    <row r="43" spans="2:10" ht="43.5" customHeight="1">
      <c r="B43" s="378"/>
      <c r="C43" s="342"/>
      <c r="D43" s="345"/>
      <c r="E43" s="198"/>
      <c r="F43" s="195"/>
      <c r="G43" s="196"/>
      <c r="H43" s="197"/>
      <c r="I43" s="196"/>
      <c r="J43" s="348"/>
    </row>
    <row r="44" spans="2:10">
      <c r="B44" s="381"/>
      <c r="C44" s="340"/>
      <c r="D44" s="343"/>
      <c r="E44" s="202"/>
      <c r="F44" s="24"/>
      <c r="G44" s="24"/>
      <c r="H44" s="24"/>
      <c r="I44" s="24"/>
      <c r="J44" s="346"/>
    </row>
    <row r="45" spans="2:10">
      <c r="B45" s="382"/>
      <c r="C45" s="341"/>
      <c r="D45" s="344"/>
      <c r="E45" s="1"/>
      <c r="F45" s="28"/>
      <c r="G45" s="28"/>
      <c r="H45" s="28"/>
      <c r="I45" s="28"/>
      <c r="J45" s="347"/>
    </row>
    <row r="46" spans="2:10">
      <c r="B46" s="383"/>
      <c r="C46" s="342"/>
      <c r="D46" s="345"/>
      <c r="E46" s="198"/>
      <c r="F46" s="195"/>
      <c r="G46" s="196"/>
      <c r="H46" s="197"/>
      <c r="I46" s="196"/>
      <c r="J46" s="348"/>
    </row>
    <row r="47" spans="2:10">
      <c r="B47" s="381"/>
      <c r="C47" s="340"/>
      <c r="D47" s="343"/>
      <c r="E47" s="202"/>
      <c r="F47" s="24"/>
      <c r="G47" s="24"/>
      <c r="H47" s="24"/>
      <c r="I47" s="24"/>
      <c r="J47" s="346"/>
    </row>
    <row r="48" spans="2:10">
      <c r="B48" s="382"/>
      <c r="C48" s="341"/>
      <c r="D48" s="344"/>
      <c r="E48" s="1"/>
      <c r="F48" s="28"/>
      <c r="G48" s="28"/>
      <c r="H48" s="28"/>
      <c r="I48" s="28"/>
      <c r="J48" s="347"/>
    </row>
    <row r="49" spans="2:10">
      <c r="B49" s="383"/>
      <c r="C49" s="342"/>
      <c r="D49" s="345"/>
      <c r="E49" s="198"/>
      <c r="F49" s="195"/>
      <c r="G49" s="196"/>
      <c r="H49" s="197"/>
      <c r="I49" s="196"/>
      <c r="J49" s="348"/>
    </row>
    <row r="50" spans="2:10">
      <c r="B50" s="381"/>
      <c r="C50" s="340"/>
      <c r="D50" s="343"/>
      <c r="E50" s="202"/>
      <c r="F50" s="24"/>
      <c r="G50" s="24"/>
      <c r="H50" s="24"/>
      <c r="I50" s="24"/>
      <c r="J50" s="346"/>
    </row>
    <row r="51" spans="2:10">
      <c r="B51" s="382"/>
      <c r="C51" s="341"/>
      <c r="D51" s="344"/>
      <c r="E51" s="1"/>
      <c r="F51" s="28"/>
      <c r="G51" s="28"/>
      <c r="H51" s="28"/>
      <c r="I51" s="28"/>
      <c r="J51" s="347"/>
    </row>
    <row r="52" spans="2:10">
      <c r="B52" s="383"/>
      <c r="C52" s="342"/>
      <c r="D52" s="345"/>
      <c r="E52" s="198"/>
      <c r="F52" s="195"/>
      <c r="G52" s="196"/>
      <c r="H52" s="197"/>
      <c r="I52" s="196"/>
      <c r="J52" s="348"/>
    </row>
    <row r="53" spans="2:10" ht="30.75" customHeight="1">
      <c r="B53" s="381"/>
      <c r="C53" s="340"/>
      <c r="D53" s="343"/>
      <c r="E53" s="202"/>
      <c r="F53" s="24"/>
      <c r="G53" s="24"/>
      <c r="H53" s="24"/>
      <c r="I53" s="24"/>
      <c r="J53" s="346"/>
    </row>
    <row r="54" spans="2:10" ht="30.75" customHeight="1">
      <c r="B54" s="382"/>
      <c r="C54" s="341"/>
      <c r="D54" s="344"/>
      <c r="E54" s="1"/>
      <c r="F54" s="28"/>
      <c r="G54" s="28"/>
      <c r="H54" s="28"/>
      <c r="I54" s="28"/>
      <c r="J54" s="347"/>
    </row>
    <row r="55" spans="2:10" ht="30.75" customHeight="1">
      <c r="B55" s="383"/>
      <c r="C55" s="342"/>
      <c r="D55" s="345"/>
      <c r="E55" s="198"/>
      <c r="F55" s="195"/>
      <c r="G55" s="196"/>
      <c r="H55" s="197"/>
      <c r="I55" s="196"/>
      <c r="J55" s="348"/>
    </row>
    <row r="56" spans="2:10" ht="30.75" customHeight="1">
      <c r="B56" s="381"/>
      <c r="C56" s="340"/>
      <c r="D56" s="343"/>
      <c r="E56" s="202"/>
      <c r="F56" s="24"/>
      <c r="G56" s="24"/>
      <c r="H56" s="24"/>
      <c r="I56" s="24"/>
      <c r="J56" s="346"/>
    </row>
    <row r="57" spans="2:10" ht="30.75" customHeight="1">
      <c r="B57" s="382"/>
      <c r="C57" s="341"/>
      <c r="D57" s="344"/>
      <c r="E57" s="1"/>
      <c r="F57" s="28"/>
      <c r="G57" s="28"/>
      <c r="H57" s="28"/>
      <c r="I57" s="28"/>
      <c r="J57" s="347"/>
    </row>
    <row r="58" spans="2:10" ht="30.75" customHeight="1">
      <c r="B58" s="383"/>
      <c r="C58" s="342"/>
      <c r="D58" s="345"/>
      <c r="E58" s="198"/>
      <c r="F58" s="195"/>
      <c r="G58" s="196"/>
      <c r="H58" s="197"/>
      <c r="I58" s="196"/>
      <c r="J58" s="348"/>
    </row>
    <row r="59" spans="2:10" ht="30.75" customHeight="1">
      <c r="B59" s="381"/>
      <c r="C59" s="340"/>
      <c r="D59" s="343"/>
      <c r="E59" s="202"/>
      <c r="F59" s="24"/>
      <c r="G59" s="24"/>
      <c r="H59" s="24"/>
      <c r="I59" s="24"/>
      <c r="J59" s="346"/>
    </row>
    <row r="60" spans="2:10" ht="30.75" customHeight="1">
      <c r="B60" s="382"/>
      <c r="C60" s="341"/>
      <c r="D60" s="344"/>
      <c r="E60" s="1"/>
      <c r="F60" s="28"/>
      <c r="G60" s="28"/>
      <c r="H60" s="28"/>
      <c r="I60" s="28"/>
      <c r="J60" s="347"/>
    </row>
    <row r="61" spans="2:10" ht="30.75" customHeight="1">
      <c r="B61" s="383"/>
      <c r="C61" s="342"/>
      <c r="D61" s="345"/>
      <c r="E61" s="198"/>
      <c r="F61" s="195"/>
      <c r="G61" s="196"/>
      <c r="H61" s="197"/>
      <c r="I61" s="196"/>
      <c r="J61" s="348"/>
    </row>
    <row r="62" spans="2:10" ht="30.75" customHeight="1">
      <c r="B62" s="381"/>
      <c r="C62" s="340"/>
      <c r="D62" s="343"/>
      <c r="E62" s="202"/>
      <c r="F62" s="24"/>
      <c r="G62" s="24"/>
      <c r="H62" s="24"/>
      <c r="I62" s="24"/>
      <c r="J62" s="346"/>
    </row>
    <row r="63" spans="2:10" ht="30.75" customHeight="1">
      <c r="B63" s="382"/>
      <c r="C63" s="341"/>
      <c r="D63" s="344"/>
      <c r="E63" s="1"/>
      <c r="F63" s="28"/>
      <c r="G63" s="28"/>
      <c r="H63" s="28"/>
      <c r="I63" s="28"/>
      <c r="J63" s="347"/>
    </row>
    <row r="64" spans="2:10" ht="30.75" customHeight="1">
      <c r="B64" s="383"/>
      <c r="C64" s="342"/>
      <c r="D64" s="345"/>
      <c r="E64" s="198"/>
      <c r="F64" s="195"/>
      <c r="G64" s="196"/>
      <c r="H64" s="197"/>
      <c r="I64" s="196"/>
      <c r="J64" s="348"/>
    </row>
    <row r="65" spans="2:10">
      <c r="B65" s="381"/>
      <c r="C65" s="340"/>
      <c r="D65" s="343"/>
      <c r="E65" s="202"/>
      <c r="F65" s="24"/>
      <c r="G65" s="24"/>
      <c r="H65" s="24"/>
      <c r="I65" s="24"/>
      <c r="J65" s="346"/>
    </row>
    <row r="66" spans="2:10">
      <c r="B66" s="382"/>
      <c r="C66" s="341"/>
      <c r="D66" s="344"/>
      <c r="E66" s="1"/>
      <c r="F66" s="28"/>
      <c r="G66" s="28"/>
      <c r="H66" s="28"/>
      <c r="I66" s="28"/>
      <c r="J66" s="347"/>
    </row>
    <row r="67" spans="2:10">
      <c r="B67" s="383"/>
      <c r="C67" s="342"/>
      <c r="D67" s="345"/>
      <c r="E67" s="198"/>
      <c r="F67" s="195"/>
      <c r="G67" s="196"/>
      <c r="H67" s="197"/>
      <c r="I67" s="196"/>
      <c r="J67" s="348"/>
    </row>
    <row r="68" spans="2:10" ht="30.75" customHeight="1">
      <c r="B68" s="381"/>
      <c r="C68" s="340"/>
      <c r="D68" s="343"/>
      <c r="E68" s="202"/>
      <c r="F68" s="24"/>
      <c r="G68" s="24"/>
      <c r="H68" s="24"/>
      <c r="I68" s="24"/>
      <c r="J68" s="346"/>
    </row>
    <row r="69" spans="2:10" ht="30.75" customHeight="1">
      <c r="B69" s="382"/>
      <c r="C69" s="341"/>
      <c r="D69" s="344"/>
      <c r="E69" s="1"/>
      <c r="F69" s="28"/>
      <c r="G69" s="28"/>
      <c r="H69" s="28"/>
      <c r="I69" s="28"/>
      <c r="J69" s="347"/>
    </row>
    <row r="70" spans="2:10" ht="30.75" customHeight="1">
      <c r="B70" s="383"/>
      <c r="C70" s="342"/>
      <c r="D70" s="345"/>
      <c r="E70" s="198"/>
      <c r="F70" s="195"/>
      <c r="G70" s="196"/>
      <c r="H70" s="197"/>
      <c r="I70" s="196"/>
      <c r="J70" s="348"/>
    </row>
  </sheetData>
  <mergeCells count="89">
    <mergeCell ref="B65:B67"/>
    <mergeCell ref="C65:C67"/>
    <mergeCell ref="D65:D67"/>
    <mergeCell ref="J65:J67"/>
    <mergeCell ref="B68:B70"/>
    <mergeCell ref="C68:C70"/>
    <mergeCell ref="D68:D70"/>
    <mergeCell ref="J68:J70"/>
    <mergeCell ref="B59:B61"/>
    <mergeCell ref="C59:C61"/>
    <mergeCell ref="D59:D61"/>
    <mergeCell ref="J59:J61"/>
    <mergeCell ref="B62:B64"/>
    <mergeCell ref="C62:C64"/>
    <mergeCell ref="D62:D64"/>
    <mergeCell ref="J62:J64"/>
    <mergeCell ref="B53:B55"/>
    <mergeCell ref="C53:C55"/>
    <mergeCell ref="D53:D55"/>
    <mergeCell ref="J53:J55"/>
    <mergeCell ref="B56:B58"/>
    <mergeCell ref="C56:C58"/>
    <mergeCell ref="D56:D58"/>
    <mergeCell ref="J56:J58"/>
    <mergeCell ref="B47:B49"/>
    <mergeCell ref="C47:C49"/>
    <mergeCell ref="D47:D49"/>
    <mergeCell ref="J47:J49"/>
    <mergeCell ref="B50:B52"/>
    <mergeCell ref="C50:C52"/>
    <mergeCell ref="D50:D52"/>
    <mergeCell ref="J50:J52"/>
    <mergeCell ref="B41:B43"/>
    <mergeCell ref="C41:C43"/>
    <mergeCell ref="D41:D43"/>
    <mergeCell ref="J41:J43"/>
    <mergeCell ref="B44:B46"/>
    <mergeCell ref="C44:C46"/>
    <mergeCell ref="D44:D46"/>
    <mergeCell ref="J44:J46"/>
    <mergeCell ref="B35:B37"/>
    <mergeCell ref="C35:C37"/>
    <mergeCell ref="D35:D37"/>
    <mergeCell ref="J35:J37"/>
    <mergeCell ref="B38:B40"/>
    <mergeCell ref="C38:C40"/>
    <mergeCell ref="D38:D40"/>
    <mergeCell ref="J38:J40"/>
    <mergeCell ref="B27:B31"/>
    <mergeCell ref="C27:C31"/>
    <mergeCell ref="D27:D31"/>
    <mergeCell ref="J27:J31"/>
    <mergeCell ref="B32:B34"/>
    <mergeCell ref="C32:C34"/>
    <mergeCell ref="D32:D34"/>
    <mergeCell ref="J32:J34"/>
    <mergeCell ref="B21:B23"/>
    <mergeCell ref="C21:C23"/>
    <mergeCell ref="D21:D23"/>
    <mergeCell ref="J21:J23"/>
    <mergeCell ref="B24:B26"/>
    <mergeCell ref="C24:C26"/>
    <mergeCell ref="D24:D26"/>
    <mergeCell ref="J24:J26"/>
    <mergeCell ref="B15:B17"/>
    <mergeCell ref="C15:C17"/>
    <mergeCell ref="D15:D17"/>
    <mergeCell ref="J15:J17"/>
    <mergeCell ref="B18:B20"/>
    <mergeCell ref="C18:C20"/>
    <mergeCell ref="D18:D20"/>
    <mergeCell ref="J18:J20"/>
    <mergeCell ref="B9:B11"/>
    <mergeCell ref="C9:C11"/>
    <mergeCell ref="D9:D11"/>
    <mergeCell ref="J9:J11"/>
    <mergeCell ref="B12:B14"/>
    <mergeCell ref="C12:C14"/>
    <mergeCell ref="D12:D14"/>
    <mergeCell ref="J12:J14"/>
    <mergeCell ref="B6:B8"/>
    <mergeCell ref="C6:C8"/>
    <mergeCell ref="D6:D8"/>
    <mergeCell ref="J6:J8"/>
    <mergeCell ref="B1:J1"/>
    <mergeCell ref="B3:B5"/>
    <mergeCell ref="C3:C5"/>
    <mergeCell ref="D3:D5"/>
    <mergeCell ref="J3:J5"/>
  </mergeCells>
  <pageMargins left="0.25" right="0.25" top="0.75" bottom="0.75" header="0.3" footer="0.3"/>
  <pageSetup paperSize="9" scale="40" fitToWidth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C762-2A35-4B2F-9207-11EC47C3F979}">
  <sheetPr>
    <pageSetUpPr fitToPage="1"/>
  </sheetPr>
  <dimension ref="B1:L20"/>
  <sheetViews>
    <sheetView zoomScale="85" zoomScaleNormal="85" workbookViewId="0">
      <pane ySplit="2" topLeftCell="A16" activePane="bottomLeft" state="frozen"/>
      <selection pane="bottomLeft" activeCell="F16" sqref="F16"/>
    </sheetView>
  </sheetViews>
  <sheetFormatPr defaultRowHeight="15"/>
  <cols>
    <col min="1" max="1" width="3.42578125" customWidth="1"/>
    <col min="2" max="2" width="28" customWidth="1"/>
    <col min="3" max="3" width="25" customWidth="1"/>
    <col min="4" max="4" width="43" customWidth="1"/>
    <col min="5" max="6" width="18.42578125" customWidth="1"/>
    <col min="7" max="7" width="50.7109375" customWidth="1"/>
    <col min="8" max="8" width="15" customWidth="1"/>
    <col min="9" max="9" width="44.42578125" customWidth="1"/>
    <col min="10" max="10" width="14.28515625" customWidth="1"/>
    <col min="12" max="12" width="11.85546875" bestFit="1" customWidth="1"/>
  </cols>
  <sheetData>
    <row r="1" spans="2:12" ht="75.75" customHeight="1" thickBot="1">
      <c r="B1" s="399" t="s">
        <v>918</v>
      </c>
      <c r="C1" s="400"/>
      <c r="D1" s="401"/>
      <c r="E1" s="401"/>
      <c r="F1" s="401"/>
      <c r="G1" s="401"/>
      <c r="H1" s="401"/>
      <c r="I1" s="401"/>
      <c r="J1" s="402"/>
    </row>
    <row r="2" spans="2:12" ht="36" customHeight="1" thickBot="1">
      <c r="B2" s="88" t="s">
        <v>2</v>
      </c>
      <c r="C2" s="89" t="s">
        <v>919</v>
      </c>
      <c r="D2" s="90" t="s">
        <v>643</v>
      </c>
      <c r="E2" s="90" t="s">
        <v>644</v>
      </c>
      <c r="F2" s="91" t="s">
        <v>920</v>
      </c>
      <c r="G2" s="91" t="s">
        <v>646</v>
      </c>
      <c r="H2" s="92" t="s">
        <v>647</v>
      </c>
      <c r="I2" s="91" t="s">
        <v>648</v>
      </c>
      <c r="J2" s="93" t="s">
        <v>647</v>
      </c>
    </row>
    <row r="3" spans="2:12" ht="50.1" customHeight="1">
      <c r="B3" s="369" t="s">
        <v>282</v>
      </c>
      <c r="C3" s="288" t="s">
        <v>921</v>
      </c>
      <c r="D3" s="403" t="s">
        <v>922</v>
      </c>
      <c r="E3" s="288" t="s">
        <v>923</v>
      </c>
      <c r="F3" s="80" t="s">
        <v>838</v>
      </c>
      <c r="G3" s="81" t="s">
        <v>924</v>
      </c>
      <c r="H3" s="82" t="s">
        <v>117</v>
      </c>
      <c r="I3" s="81" t="s">
        <v>925</v>
      </c>
      <c r="J3" s="83" t="s">
        <v>117</v>
      </c>
    </row>
    <row r="4" spans="2:12" ht="50.1" customHeight="1">
      <c r="B4" s="370"/>
      <c r="C4" s="289"/>
      <c r="D4" s="404"/>
      <c r="E4" s="289"/>
      <c r="F4" s="98" t="s">
        <v>926</v>
      </c>
      <c r="G4" s="28" t="s">
        <v>797</v>
      </c>
      <c r="H4" s="28" t="s">
        <v>152</v>
      </c>
      <c r="I4" s="28" t="s">
        <v>927</v>
      </c>
      <c r="J4" s="55" t="s">
        <v>152</v>
      </c>
    </row>
    <row r="5" spans="2:12" ht="50.1" customHeight="1" thickBot="1">
      <c r="B5" s="371"/>
      <c r="C5" s="290"/>
      <c r="D5" s="405"/>
      <c r="E5" s="290"/>
      <c r="F5" s="102" t="s">
        <v>928</v>
      </c>
      <c r="G5" s="103" t="s">
        <v>925</v>
      </c>
      <c r="H5" s="103" t="s">
        <v>117</v>
      </c>
      <c r="I5" s="103" t="s">
        <v>924</v>
      </c>
      <c r="J5" s="104" t="s">
        <v>117</v>
      </c>
    </row>
    <row r="6" spans="2:12" ht="50.1" customHeight="1">
      <c r="B6" s="369" t="s">
        <v>270</v>
      </c>
      <c r="C6" s="288" t="s">
        <v>929</v>
      </c>
      <c r="D6" s="393" t="s">
        <v>930</v>
      </c>
      <c r="E6" s="288" t="s">
        <v>931</v>
      </c>
      <c r="F6" s="80" t="s">
        <v>838</v>
      </c>
      <c r="G6" s="81" t="s">
        <v>932</v>
      </c>
      <c r="H6" s="81" t="s">
        <v>203</v>
      </c>
      <c r="I6" s="81" t="s">
        <v>933</v>
      </c>
      <c r="J6" s="83" t="s">
        <v>203</v>
      </c>
    </row>
    <row r="7" spans="2:12" ht="50.1" customHeight="1">
      <c r="B7" s="370"/>
      <c r="C7" s="289"/>
      <c r="D7" s="394"/>
      <c r="E7" s="289"/>
      <c r="F7" s="98" t="s">
        <v>926</v>
      </c>
      <c r="G7" s="28" t="s">
        <v>797</v>
      </c>
      <c r="H7" s="28" t="s">
        <v>152</v>
      </c>
      <c r="I7" s="28" t="s">
        <v>927</v>
      </c>
      <c r="J7" s="55" t="s">
        <v>152</v>
      </c>
    </row>
    <row r="8" spans="2:12" ht="50.1" customHeight="1">
      <c r="B8" s="370"/>
      <c r="C8" s="289"/>
      <c r="D8" s="394"/>
      <c r="E8" s="289"/>
      <c r="F8" s="105" t="s">
        <v>928</v>
      </c>
      <c r="G8" s="106" t="s">
        <v>934</v>
      </c>
      <c r="H8" s="106" t="s">
        <v>203</v>
      </c>
      <c r="I8" s="106" t="s">
        <v>38</v>
      </c>
      <c r="J8" s="107" t="s">
        <v>38</v>
      </c>
    </row>
    <row r="9" spans="2:12" ht="50.1" customHeight="1" thickBot="1">
      <c r="B9" s="371"/>
      <c r="C9" s="290"/>
      <c r="D9" s="395"/>
      <c r="E9" s="290"/>
      <c r="F9" s="78" t="s">
        <v>935</v>
      </c>
      <c r="G9" s="53" t="s">
        <v>936</v>
      </c>
      <c r="H9" s="79" t="s">
        <v>117</v>
      </c>
      <c r="I9" s="53" t="s">
        <v>726</v>
      </c>
      <c r="J9" s="94" t="s">
        <v>117</v>
      </c>
    </row>
    <row r="10" spans="2:12" ht="50.1" customHeight="1">
      <c r="B10" s="327" t="s">
        <v>305</v>
      </c>
      <c r="C10" s="315" t="s">
        <v>937</v>
      </c>
      <c r="D10" s="324" t="s">
        <v>307</v>
      </c>
      <c r="E10" s="315" t="s">
        <v>938</v>
      </c>
      <c r="F10" s="80" t="s">
        <v>838</v>
      </c>
      <c r="G10" s="81" t="s">
        <v>824</v>
      </c>
      <c r="H10" s="84" t="s">
        <v>152</v>
      </c>
      <c r="I10" s="81" t="s">
        <v>927</v>
      </c>
      <c r="J10" s="83" t="s">
        <v>152</v>
      </c>
    </row>
    <row r="11" spans="2:12" ht="50.1" customHeight="1">
      <c r="B11" s="328"/>
      <c r="C11" s="316"/>
      <c r="D11" s="325"/>
      <c r="E11" s="316"/>
      <c r="F11" s="98" t="s">
        <v>926</v>
      </c>
      <c r="G11" s="28" t="s">
        <v>927</v>
      </c>
      <c r="H11" s="20" t="s">
        <v>152</v>
      </c>
      <c r="I11" s="28" t="s">
        <v>797</v>
      </c>
      <c r="J11" s="55" t="s">
        <v>152</v>
      </c>
    </row>
    <row r="12" spans="2:12" ht="50.1" customHeight="1" thickBot="1">
      <c r="B12" s="329"/>
      <c r="C12" s="317"/>
      <c r="D12" s="326"/>
      <c r="E12" s="317"/>
      <c r="F12" s="78" t="s">
        <v>935</v>
      </c>
      <c r="G12" s="53" t="s">
        <v>936</v>
      </c>
      <c r="H12" s="79" t="s">
        <v>117</v>
      </c>
      <c r="I12" s="53" t="s">
        <v>726</v>
      </c>
      <c r="J12" s="94" t="s">
        <v>117</v>
      </c>
    </row>
    <row r="13" spans="2:12" ht="50.1" customHeight="1">
      <c r="B13" s="369"/>
      <c r="C13" s="288" t="s">
        <v>939</v>
      </c>
      <c r="D13" s="393" t="s">
        <v>940</v>
      </c>
      <c r="E13" s="396" t="s">
        <v>941</v>
      </c>
      <c r="F13" s="80" t="s">
        <v>838</v>
      </c>
      <c r="G13" s="81" t="s">
        <v>662</v>
      </c>
      <c r="H13" s="81" t="s">
        <v>733</v>
      </c>
      <c r="I13" s="81" t="s">
        <v>824</v>
      </c>
      <c r="J13" s="83" t="s">
        <v>152</v>
      </c>
      <c r="L13" s="2"/>
    </row>
    <row r="14" spans="2:12" ht="50.1" customHeight="1">
      <c r="B14" s="370"/>
      <c r="C14" s="289"/>
      <c r="D14" s="394"/>
      <c r="E14" s="397"/>
      <c r="F14" s="98" t="s">
        <v>926</v>
      </c>
      <c r="G14" s="28" t="s">
        <v>824</v>
      </c>
      <c r="H14" s="28" t="s">
        <v>152</v>
      </c>
      <c r="I14" s="28" t="s">
        <v>824</v>
      </c>
      <c r="J14" s="55" t="s">
        <v>733</v>
      </c>
    </row>
    <row r="15" spans="2:12" ht="50.1" customHeight="1">
      <c r="B15" s="371"/>
      <c r="C15" s="290"/>
      <c r="D15" s="395"/>
      <c r="E15" s="398"/>
      <c r="F15" s="78" t="s">
        <v>935</v>
      </c>
      <c r="G15" s="384" t="s">
        <v>942</v>
      </c>
      <c r="H15" s="385"/>
      <c r="I15" s="385"/>
      <c r="J15" s="386"/>
      <c r="L15" s="3"/>
    </row>
    <row r="16" spans="2:12" ht="50.1" customHeight="1">
      <c r="B16" s="369" t="s">
        <v>317</v>
      </c>
      <c r="C16" s="288" t="s">
        <v>943</v>
      </c>
      <c r="D16" s="393" t="s">
        <v>944</v>
      </c>
      <c r="E16" s="288" t="s">
        <v>945</v>
      </c>
      <c r="F16" s="80" t="s">
        <v>838</v>
      </c>
      <c r="G16" s="81" t="s">
        <v>946</v>
      </c>
      <c r="H16" s="81" t="s">
        <v>947</v>
      </c>
      <c r="I16" s="101" t="s">
        <v>948</v>
      </c>
      <c r="J16" s="83" t="s">
        <v>38</v>
      </c>
      <c r="L16" s="3"/>
    </row>
    <row r="17" spans="2:12" ht="50.1" customHeight="1" thickBot="1">
      <c r="B17" s="371"/>
      <c r="C17" s="290"/>
      <c r="D17" s="395"/>
      <c r="E17" s="290"/>
      <c r="F17" s="99" t="s">
        <v>926</v>
      </c>
      <c r="G17" s="56" t="s">
        <v>949</v>
      </c>
      <c r="H17" s="56" t="s">
        <v>152</v>
      </c>
      <c r="I17" s="56" t="s">
        <v>660</v>
      </c>
      <c r="J17" s="52" t="s">
        <v>152</v>
      </c>
      <c r="L17" s="3"/>
    </row>
    <row r="18" spans="2:12" ht="50.1" customHeight="1">
      <c r="B18" s="387" t="s">
        <v>950</v>
      </c>
      <c r="C18" s="315" t="s">
        <v>951</v>
      </c>
      <c r="D18" s="390" t="s">
        <v>952</v>
      </c>
      <c r="E18" s="315" t="s">
        <v>953</v>
      </c>
      <c r="F18" s="80" t="s">
        <v>838</v>
      </c>
      <c r="G18" s="81" t="s">
        <v>949</v>
      </c>
      <c r="H18" s="81" t="s">
        <v>152</v>
      </c>
      <c r="I18" s="81" t="s">
        <v>824</v>
      </c>
      <c r="J18" s="83" t="s">
        <v>152</v>
      </c>
    </row>
    <row r="19" spans="2:12" ht="50.1" customHeight="1">
      <c r="B19" s="388"/>
      <c r="C19" s="316"/>
      <c r="D19" s="391"/>
      <c r="E19" s="316"/>
      <c r="F19" s="98" t="s">
        <v>926</v>
      </c>
      <c r="G19" s="28" t="s">
        <v>732</v>
      </c>
      <c r="H19" s="28" t="s">
        <v>733</v>
      </c>
      <c r="I19" s="28" t="s">
        <v>797</v>
      </c>
      <c r="J19" s="55" t="s">
        <v>152</v>
      </c>
    </row>
    <row r="20" spans="2:12" ht="50.1" customHeight="1" thickBot="1">
      <c r="B20" s="389"/>
      <c r="C20" s="317"/>
      <c r="D20" s="392"/>
      <c r="E20" s="317"/>
      <c r="F20" s="99" t="s">
        <v>926</v>
      </c>
      <c r="G20" s="56" t="s">
        <v>824</v>
      </c>
      <c r="H20" s="56" t="s">
        <v>152</v>
      </c>
      <c r="I20" s="56" t="s">
        <v>38</v>
      </c>
      <c r="J20" s="52" t="s">
        <v>38</v>
      </c>
    </row>
  </sheetData>
  <mergeCells count="26">
    <mergeCell ref="D10:D12"/>
    <mergeCell ref="B1:J1"/>
    <mergeCell ref="B3:B5"/>
    <mergeCell ref="D3:D5"/>
    <mergeCell ref="E3:E5"/>
    <mergeCell ref="B6:B9"/>
    <mergeCell ref="C6:C9"/>
    <mergeCell ref="D6:D9"/>
    <mergeCell ref="E6:E9"/>
    <mergeCell ref="C3:C5"/>
    <mergeCell ref="G15:J15"/>
    <mergeCell ref="B18:B20"/>
    <mergeCell ref="C18:C20"/>
    <mergeCell ref="D18:D20"/>
    <mergeCell ref="E10:E12"/>
    <mergeCell ref="B13:B15"/>
    <mergeCell ref="D13:D15"/>
    <mergeCell ref="E13:E15"/>
    <mergeCell ref="C10:C12"/>
    <mergeCell ref="C13:C15"/>
    <mergeCell ref="E18:E20"/>
    <mergeCell ref="B16:B17"/>
    <mergeCell ref="D16:D17"/>
    <mergeCell ref="E16:E17"/>
    <mergeCell ref="C16:C17"/>
    <mergeCell ref="B10:B12"/>
  </mergeCells>
  <hyperlinks>
    <hyperlink ref="C3:C5" r:id="rId1" display="https://sei.cjf.jus.br/sei/controlador.php?acao=procedimento_trabalhar&amp;id_procedimento=171800&amp;id_documento=357696" xr:uid="{B828DC14-428A-4135-8FB6-A3F65B019D42}"/>
    <hyperlink ref="E3:E5" r:id="rId2" display="https://sei.cjf.jus.br/sei/controlador.php?acao=procedimento_trabalhar&amp;id_procedimento=171800&amp;id_documento=362822" xr:uid="{51DB05CC-2186-4F0A-A21B-FBCC8AD3CE84}"/>
    <hyperlink ref="E10:E12" r:id="rId3" display="https://sei.cjf.jus.br/sei/controlador.php?acao=procedimento_trabalhar&amp;id_procedimento=226414&amp;id_documento=500714" xr:uid="{8282E88C-4FA3-451F-861E-5704AB0D0FD4}"/>
    <hyperlink ref="C10:C12" r:id="rId4" display="https://sei.cjf.jus.br/sei/controlador.php?acao=procedimento_trabalhar&amp;id_procedimento=226414&amp;id_documento=405669" xr:uid="{CFE36D74-7E63-45B2-8B0B-315259106F36}"/>
    <hyperlink ref="E13:E15" r:id="rId5" display="Portaria 565 (id. 0761262)" xr:uid="{213EBB2D-B707-4C7F-A15D-1296130FFC86}"/>
    <hyperlink ref="C13:C15" r:id="rId6" display="https://sei.cjf.jus.br/sei/controlador.php?acao=procedimento_trabalhar&amp;id_procedimento=264260&amp;id_documento=389310" xr:uid="{6EA5D4B6-F78B-4AD6-A040-3FD06B72F0EF}"/>
    <hyperlink ref="C16:C17" r:id="rId7" display="https://sei.cjf.jus.br/sei/controlador.php?acao=procedimento_trabalhar&amp;id_procedimento=348544&amp;id_documento=424450" xr:uid="{61B6CD86-4406-4055-840A-6F8AA132C223}"/>
    <hyperlink ref="E16:E17" r:id="rId8" display="https://sei.cjf.jus.br/sei/controlador.php?acao=procedimento_trabalhar&amp;id_procedimento=348544&amp;id_documento=427565" xr:uid="{12B253F4-2FA3-4DA9-B61F-5BD754958F32}"/>
    <hyperlink ref="C18" r:id="rId9" display="https://sei.cjf.jus.br/sei/controlador.php?acao=procedimento_trabalhar&amp;id_procedimento=308428&amp;id_documento=424809" xr:uid="{8523A516-35D3-4163-B771-46D098D6AE0A}"/>
    <hyperlink ref="E18" r:id="rId10" display="https://sei.cjf.jus.br/sei/controlador.php?acao=procedimento_trabalhar&amp;id_procedimento=308428&amp;id_documento=539267" xr:uid="{E2A6FAFE-65A9-46F7-BCDB-0EB131B09031}"/>
  </hyperlinks>
  <pageMargins left="0.25" right="0.25" top="0.75" bottom="0.75" header="0.3" footer="0.3"/>
  <pageSetup paperSize="9" scale="40" fitToWidth="0" orientation="landscape" r:id="rId1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2C9D-E8CF-4D5F-8255-61D875631800}">
  <sheetPr>
    <pageSetUpPr fitToPage="1"/>
  </sheetPr>
  <dimension ref="B1:L19"/>
  <sheetViews>
    <sheetView zoomScale="85" zoomScaleNormal="85" workbookViewId="0">
      <pane ySplit="2" topLeftCell="A8" activePane="bottomLeft" state="frozen"/>
      <selection pane="bottomLeft" activeCell="F8" sqref="F8:J10"/>
    </sheetView>
  </sheetViews>
  <sheetFormatPr defaultRowHeight="15"/>
  <cols>
    <col min="1" max="1" width="3.42578125" customWidth="1"/>
    <col min="2" max="2" width="28.28515625" customWidth="1"/>
    <col min="3" max="3" width="25.140625" customWidth="1"/>
    <col min="4" max="4" width="42.42578125" customWidth="1"/>
    <col min="5" max="6" width="18.42578125" customWidth="1"/>
    <col min="7" max="7" width="50.7109375" customWidth="1"/>
    <col min="8" max="8" width="15" customWidth="1"/>
    <col min="9" max="9" width="44.42578125" customWidth="1"/>
    <col min="10" max="10" width="15.5703125" customWidth="1"/>
    <col min="12" max="12" width="11.85546875" bestFit="1" customWidth="1"/>
  </cols>
  <sheetData>
    <row r="1" spans="2:12" ht="75.75" customHeight="1" thickBot="1">
      <c r="B1" s="399" t="s">
        <v>954</v>
      </c>
      <c r="C1" s="400"/>
      <c r="D1" s="401"/>
      <c r="E1" s="401"/>
      <c r="F1" s="401"/>
      <c r="G1" s="401"/>
      <c r="H1" s="401"/>
      <c r="I1" s="401"/>
      <c r="J1" s="402"/>
    </row>
    <row r="2" spans="2:12" ht="42.75" customHeight="1" thickBot="1">
      <c r="B2" s="88" t="s">
        <v>2</v>
      </c>
      <c r="C2" s="89" t="s">
        <v>919</v>
      </c>
      <c r="D2" s="90" t="s">
        <v>643</v>
      </c>
      <c r="E2" s="90" t="s">
        <v>644</v>
      </c>
      <c r="F2" s="91" t="s">
        <v>920</v>
      </c>
      <c r="G2" s="91" t="s">
        <v>646</v>
      </c>
      <c r="H2" s="92" t="s">
        <v>647</v>
      </c>
      <c r="I2" s="91" t="s">
        <v>648</v>
      </c>
      <c r="J2" s="93" t="s">
        <v>647</v>
      </c>
    </row>
    <row r="3" spans="2:12" ht="50.1" customHeight="1">
      <c r="B3" s="327" t="s">
        <v>370</v>
      </c>
      <c r="C3" s="315" t="s">
        <v>955</v>
      </c>
      <c r="D3" s="324" t="s">
        <v>705</v>
      </c>
      <c r="E3" s="315" t="s">
        <v>956</v>
      </c>
      <c r="F3" s="80" t="s">
        <v>838</v>
      </c>
      <c r="G3" s="84" t="s">
        <v>710</v>
      </c>
      <c r="H3" s="85" t="s">
        <v>163</v>
      </c>
      <c r="I3" s="86" t="s">
        <v>957</v>
      </c>
      <c r="J3" s="87" t="s">
        <v>163</v>
      </c>
    </row>
    <row r="4" spans="2:12" ht="50.1" customHeight="1" thickBot="1">
      <c r="B4" s="328"/>
      <c r="C4" s="317"/>
      <c r="D4" s="326"/>
      <c r="E4" s="316"/>
      <c r="F4" s="98" t="s">
        <v>926</v>
      </c>
      <c r="G4" s="20" t="s">
        <v>774</v>
      </c>
      <c r="H4" s="10" t="s">
        <v>152</v>
      </c>
      <c r="I4" s="15" t="s">
        <v>927</v>
      </c>
      <c r="J4" s="23" t="s">
        <v>152</v>
      </c>
    </row>
    <row r="5" spans="2:12" ht="50.1" customHeight="1">
      <c r="B5" s="327" t="s">
        <v>366</v>
      </c>
      <c r="C5" s="315" t="s">
        <v>958</v>
      </c>
      <c r="D5" s="324" t="s">
        <v>712</v>
      </c>
      <c r="E5" s="315" t="s">
        <v>959</v>
      </c>
      <c r="F5" s="80" t="s">
        <v>838</v>
      </c>
      <c r="G5" s="84" t="s">
        <v>949</v>
      </c>
      <c r="H5" s="85" t="s">
        <v>152</v>
      </c>
      <c r="I5" s="84" t="s">
        <v>927</v>
      </c>
      <c r="J5" s="83" t="s">
        <v>152</v>
      </c>
    </row>
    <row r="6" spans="2:12" ht="50.1" customHeight="1">
      <c r="B6" s="328"/>
      <c r="C6" s="316"/>
      <c r="D6" s="325"/>
      <c r="E6" s="316"/>
      <c r="F6" s="98" t="s">
        <v>926</v>
      </c>
      <c r="G6" s="15" t="s">
        <v>927</v>
      </c>
      <c r="H6" s="28" t="s">
        <v>152</v>
      </c>
      <c r="I6" s="38" t="s">
        <v>949</v>
      </c>
      <c r="J6" s="37" t="s">
        <v>152</v>
      </c>
    </row>
    <row r="7" spans="2:12" ht="50.1" customHeight="1" thickBot="1">
      <c r="B7" s="329"/>
      <c r="C7" s="317"/>
      <c r="D7" s="326"/>
      <c r="E7" s="317"/>
      <c r="F7" s="78" t="s">
        <v>960</v>
      </c>
      <c r="G7" s="53" t="s">
        <v>678</v>
      </c>
      <c r="H7" s="79" t="s">
        <v>679</v>
      </c>
      <c r="I7" s="53" t="s">
        <v>677</v>
      </c>
      <c r="J7" s="94" t="s">
        <v>666</v>
      </c>
    </row>
    <row r="8" spans="2:12" ht="50.1" customHeight="1">
      <c r="B8" s="328" t="s">
        <v>361</v>
      </c>
      <c r="C8" s="315" t="s">
        <v>961</v>
      </c>
      <c r="D8" s="324" t="s">
        <v>751</v>
      </c>
      <c r="E8" s="413" t="s">
        <v>962</v>
      </c>
      <c r="F8" s="80" t="s">
        <v>838</v>
      </c>
      <c r="G8" s="81" t="s">
        <v>662</v>
      </c>
      <c r="H8" s="82" t="s">
        <v>152</v>
      </c>
      <c r="I8" s="81" t="s">
        <v>824</v>
      </c>
      <c r="J8" s="87" t="s">
        <v>152</v>
      </c>
      <c r="L8" s="2"/>
    </row>
    <row r="9" spans="2:12" ht="50.1" customHeight="1">
      <c r="B9" s="328"/>
      <c r="C9" s="316"/>
      <c r="D9" s="325"/>
      <c r="E9" s="413"/>
      <c r="F9" s="98" t="s">
        <v>926</v>
      </c>
      <c r="G9" s="39" t="s">
        <v>824</v>
      </c>
      <c r="H9" s="20" t="s">
        <v>152</v>
      </c>
      <c r="I9" s="20" t="s">
        <v>662</v>
      </c>
      <c r="J9" s="26" t="s">
        <v>152</v>
      </c>
    </row>
    <row r="10" spans="2:12" ht="50.1" customHeight="1">
      <c r="B10" s="329"/>
      <c r="C10" s="317"/>
      <c r="D10" s="326"/>
      <c r="E10" s="414"/>
      <c r="F10" s="78" t="s">
        <v>960</v>
      </c>
      <c r="G10" s="384" t="s">
        <v>942</v>
      </c>
      <c r="H10" s="385"/>
      <c r="I10" s="385"/>
      <c r="J10" s="386"/>
      <c r="L10" s="3"/>
    </row>
    <row r="11" spans="2:12" ht="50.1" customHeight="1">
      <c r="B11" s="327" t="s">
        <v>344</v>
      </c>
      <c r="C11" s="315" t="s">
        <v>963</v>
      </c>
      <c r="D11" s="324" t="s">
        <v>767</v>
      </c>
      <c r="E11" s="315" t="s">
        <v>964</v>
      </c>
      <c r="F11" s="80" t="s">
        <v>838</v>
      </c>
      <c r="G11" s="81" t="s">
        <v>756</v>
      </c>
      <c r="H11" s="81" t="s">
        <v>152</v>
      </c>
      <c r="I11" s="81" t="s">
        <v>965</v>
      </c>
      <c r="J11" s="83" t="s">
        <v>152</v>
      </c>
      <c r="L11" s="3"/>
    </row>
    <row r="12" spans="2:12" ht="75" customHeight="1" thickBot="1">
      <c r="B12" s="328"/>
      <c r="C12" s="316"/>
      <c r="D12" s="325"/>
      <c r="E12" s="316"/>
      <c r="F12" s="100" t="s">
        <v>926</v>
      </c>
      <c r="G12" s="20" t="s">
        <v>966</v>
      </c>
      <c r="H12" s="10" t="s">
        <v>152</v>
      </c>
      <c r="I12" s="20" t="s">
        <v>927</v>
      </c>
      <c r="J12" s="23" t="s">
        <v>152</v>
      </c>
      <c r="L12" s="3"/>
    </row>
    <row r="13" spans="2:12" ht="50.1" customHeight="1">
      <c r="B13" s="327" t="s">
        <v>967</v>
      </c>
      <c r="C13" s="315" t="s">
        <v>968</v>
      </c>
      <c r="D13" s="324" t="s">
        <v>969</v>
      </c>
      <c r="E13" s="315" t="s">
        <v>970</v>
      </c>
      <c r="F13" s="80" t="s">
        <v>838</v>
      </c>
      <c r="G13" s="81" t="s">
        <v>824</v>
      </c>
      <c r="H13" s="81" t="s">
        <v>152</v>
      </c>
      <c r="I13" s="81" t="s">
        <v>784</v>
      </c>
      <c r="J13" s="83" t="s">
        <v>152</v>
      </c>
    </row>
    <row r="14" spans="2:12" ht="50.1" customHeight="1" thickBot="1">
      <c r="B14" s="328"/>
      <c r="C14" s="316"/>
      <c r="D14" s="325"/>
      <c r="E14" s="316"/>
      <c r="F14" s="98" t="s">
        <v>926</v>
      </c>
      <c r="G14" s="20" t="s">
        <v>797</v>
      </c>
      <c r="H14" s="8" t="s">
        <v>152</v>
      </c>
      <c r="I14" s="10" t="s">
        <v>784</v>
      </c>
      <c r="J14" s="55" t="s">
        <v>152</v>
      </c>
    </row>
    <row r="15" spans="2:12" ht="50.1" customHeight="1">
      <c r="B15" s="387" t="s">
        <v>971</v>
      </c>
      <c r="C15" s="315" t="s">
        <v>972</v>
      </c>
      <c r="D15" s="390" t="s">
        <v>973</v>
      </c>
      <c r="E15" s="315" t="s">
        <v>974</v>
      </c>
      <c r="F15" s="80" t="s">
        <v>838</v>
      </c>
      <c r="G15" s="81" t="s">
        <v>747</v>
      </c>
      <c r="H15" s="81" t="s">
        <v>152</v>
      </c>
      <c r="I15" s="81" t="s">
        <v>730</v>
      </c>
      <c r="J15" s="83" t="s">
        <v>152</v>
      </c>
    </row>
    <row r="16" spans="2:12" ht="50.1" customHeight="1" thickBot="1">
      <c r="B16" s="389"/>
      <c r="C16" s="317"/>
      <c r="D16" s="392"/>
      <c r="E16" s="412"/>
      <c r="F16" s="99" t="s">
        <v>926</v>
      </c>
      <c r="G16" s="56" t="s">
        <v>730</v>
      </c>
      <c r="H16" s="56" t="s">
        <v>152</v>
      </c>
      <c r="I16" s="56" t="s">
        <v>747</v>
      </c>
      <c r="J16" s="52" t="s">
        <v>152</v>
      </c>
    </row>
    <row r="17" spans="2:10" ht="50.1" customHeight="1">
      <c r="B17" s="409" t="s">
        <v>350</v>
      </c>
      <c r="C17" s="390" t="s">
        <v>975</v>
      </c>
      <c r="D17" s="406" t="s">
        <v>351</v>
      </c>
      <c r="E17" s="390" t="s">
        <v>976</v>
      </c>
      <c r="F17" s="80" t="s">
        <v>838</v>
      </c>
      <c r="G17" s="81" t="s">
        <v>977</v>
      </c>
      <c r="H17" s="81" t="s">
        <v>152</v>
      </c>
      <c r="I17" s="81" t="s">
        <v>674</v>
      </c>
      <c r="J17" s="83" t="s">
        <v>152</v>
      </c>
    </row>
    <row r="18" spans="2:10" ht="50.1" customHeight="1">
      <c r="B18" s="410"/>
      <c r="C18" s="391"/>
      <c r="D18" s="407"/>
      <c r="E18" s="391"/>
      <c r="F18" s="98" t="s">
        <v>926</v>
      </c>
      <c r="G18" s="39" t="s">
        <v>674</v>
      </c>
      <c r="H18" s="39" t="s">
        <v>152</v>
      </c>
      <c r="I18" s="39" t="s">
        <v>978</v>
      </c>
      <c r="J18" s="71" t="s">
        <v>152</v>
      </c>
    </row>
    <row r="19" spans="2:10" ht="50.1" customHeight="1" thickBot="1">
      <c r="B19" s="411"/>
      <c r="C19" s="392"/>
      <c r="D19" s="408"/>
      <c r="E19" s="392"/>
      <c r="F19" s="97" t="s">
        <v>979</v>
      </c>
      <c r="G19" s="95" t="s">
        <v>980</v>
      </c>
      <c r="H19" s="96" t="s">
        <v>117</v>
      </c>
      <c r="I19" s="53" t="s">
        <v>726</v>
      </c>
      <c r="J19" s="94" t="s">
        <v>117</v>
      </c>
    </row>
  </sheetData>
  <mergeCells count="30">
    <mergeCell ref="G10:J10"/>
    <mergeCell ref="B1:J1"/>
    <mergeCell ref="B3:B4"/>
    <mergeCell ref="D3:D4"/>
    <mergeCell ref="E3:E4"/>
    <mergeCell ref="C3:C4"/>
    <mergeCell ref="B5:B7"/>
    <mergeCell ref="D5:D7"/>
    <mergeCell ref="E5:E7"/>
    <mergeCell ref="B8:B10"/>
    <mergeCell ref="D8:D10"/>
    <mergeCell ref="E8:E10"/>
    <mergeCell ref="C5:C7"/>
    <mergeCell ref="C8:C10"/>
    <mergeCell ref="D17:D19"/>
    <mergeCell ref="B17:B19"/>
    <mergeCell ref="C17:C19"/>
    <mergeCell ref="E17:E19"/>
    <mergeCell ref="B11:B12"/>
    <mergeCell ref="D11:D12"/>
    <mergeCell ref="E11:E12"/>
    <mergeCell ref="C11:C12"/>
    <mergeCell ref="B13:B14"/>
    <mergeCell ref="C13:C14"/>
    <mergeCell ref="D13:D14"/>
    <mergeCell ref="E13:E14"/>
    <mergeCell ref="B15:B16"/>
    <mergeCell ref="C15:C16"/>
    <mergeCell ref="D15:D16"/>
    <mergeCell ref="E15:E16"/>
  </mergeCells>
  <hyperlinks>
    <hyperlink ref="E3:E4" r:id="rId1" display="https://sei.cjf.jus.br/sei/controlador.php?acao=procedimento_trabalhar&amp;id_procedimento=508815&amp;id_documento=552091" xr:uid="{BEEDD08F-18B3-4755-BF3E-D267691F0CDA}"/>
    <hyperlink ref="E8:E10" r:id="rId2" display="Portaria 558 (id. 0760911)" xr:uid="{F383567C-19B7-4738-A677-81EB1F63D979}"/>
    <hyperlink ref="E5:E7" r:id="rId3" display="https://sei.cjf.jus.br/sei/controlador.php?acao=procedimento_trabalhar&amp;id_procedimento=473010&amp;id_documento=533753" xr:uid="{4301FCD5-7EF6-43F6-AE4F-6964A6820776}"/>
    <hyperlink ref="C3:C4" r:id="rId4" display="https://sei.cjf.jus.br/sei/controlador.php?acao=procedimento_trabalhar&amp;id_procedimento=508815&amp;id_documento=545906" xr:uid="{2FAB6E73-9068-4D90-9E8A-85C8AF646136}"/>
    <hyperlink ref="C5:C7" r:id="rId5" display="https://sei.cjf.jus.br/sei/controlador.php?acao=procedimento_trabalhar&amp;id_procedimento=473010&amp;id_documento=529473" xr:uid="{3B699C1F-9499-4ADF-9123-EB87B45519D0}"/>
    <hyperlink ref="C8:C10" r:id="rId6" display="https://sei.cjf.jus.br/sei/controlador.php?acao=procedimento_trabalhar&amp;id_procedimento=476561&amp;id_documento=521004" xr:uid="{B3B9CE38-3B2F-476F-90F5-2E181E072495}"/>
    <hyperlink ref="C11:C12" r:id="rId7" display="https://sei.cjf.jus.br/sei/controlador.php?acao=procedimento_trabalhar&amp;id_procedimento=415132&amp;id_documento=486989" xr:uid="{848B4F8F-EAFE-4D5D-A082-0A041BBDDD46}"/>
    <hyperlink ref="C13" r:id="rId8" display="https://sei.cjf.jus.br/sei/controlador.php?acao=procedimento_trabalhar&amp;id_procedimento=497867&amp;id_documento=512331" xr:uid="{B91C0F41-9BDC-4503-9265-45529A26FB05}"/>
    <hyperlink ref="C15" r:id="rId9" display="https://sei.cjf.jus.br/sei/controlador.php?acao=procedimento_trabalhar&amp;id_procedimento=331620&amp;id_documento=441550" xr:uid="{9E45E85B-3694-4361-9CE6-D64603B0E7BE}"/>
    <hyperlink ref="E15" r:id="rId10" display="https://sei.cjf.jus.br/sei/controlador.php?acao=procedimento_trabalhar&amp;id_procedimento=331620&amp;id_documento=544156" xr:uid="{BE485DFE-C913-4016-86B3-86064D6EC0A6}"/>
    <hyperlink ref="E13:E14" r:id="rId11" display="https://sei.cjf.jus.br/sei/controlador.php?acao=procedimento_trabalhar&amp;id_procedimento=497867&amp;id_documento=563208" xr:uid="{EBB73F3F-835B-48F4-A331-48204057B693}"/>
  </hyperlinks>
  <pageMargins left="0.25" right="0.25" top="0.75" bottom="0.75" header="0.3" footer="0.3"/>
  <pageSetup paperSize="9" scale="40" fitToWidth="0" orientation="landscape" r:id="rId1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E15C-249B-4480-AE12-3AE523CD39FE}">
  <sheetPr>
    <pageSetUpPr fitToPage="1"/>
  </sheetPr>
  <dimension ref="B1:P19"/>
  <sheetViews>
    <sheetView zoomScale="85" zoomScaleNormal="85" workbookViewId="0">
      <pane ySplit="2" topLeftCell="E20" activePane="bottomLeft" state="frozen"/>
      <selection pane="bottomLeft" activeCell="E20" sqref="E20"/>
    </sheetView>
  </sheetViews>
  <sheetFormatPr defaultRowHeight="95.25" customHeight="1"/>
  <cols>
    <col min="1" max="1" width="3.42578125" customWidth="1"/>
    <col min="2" max="3" width="27.42578125" customWidth="1"/>
    <col min="4" max="4" width="43.140625" customWidth="1"/>
    <col min="5" max="5" width="18.42578125" customWidth="1"/>
    <col min="6" max="6" width="23.5703125" customWidth="1"/>
    <col min="7" max="7" width="50.7109375" customWidth="1"/>
    <col min="8" max="8" width="15" customWidth="1"/>
    <col min="9" max="9" width="44.42578125" customWidth="1"/>
    <col min="10" max="10" width="15.5703125" customWidth="1"/>
    <col min="12" max="12" width="11.85546875" bestFit="1" customWidth="1"/>
  </cols>
  <sheetData>
    <row r="1" spans="2:16" ht="75" customHeight="1" thickBot="1">
      <c r="B1" s="399" t="s">
        <v>981</v>
      </c>
      <c r="C1" s="400"/>
      <c r="D1" s="401"/>
      <c r="E1" s="401"/>
      <c r="F1" s="401"/>
      <c r="G1" s="401"/>
      <c r="H1" s="401"/>
      <c r="I1" s="401"/>
      <c r="J1" s="402"/>
    </row>
    <row r="2" spans="2:16" ht="33.75" customHeight="1" thickBot="1">
      <c r="B2" s="88" t="s">
        <v>2</v>
      </c>
      <c r="C2" s="89" t="s">
        <v>919</v>
      </c>
      <c r="D2" s="90" t="s">
        <v>643</v>
      </c>
      <c r="E2" s="90" t="s">
        <v>644</v>
      </c>
      <c r="F2" s="91" t="s">
        <v>920</v>
      </c>
      <c r="G2" s="91" t="s">
        <v>646</v>
      </c>
      <c r="H2" s="92" t="s">
        <v>647</v>
      </c>
      <c r="I2" s="91" t="s">
        <v>648</v>
      </c>
      <c r="J2" s="93" t="s">
        <v>647</v>
      </c>
    </row>
    <row r="3" spans="2:16" ht="50.1" customHeight="1">
      <c r="B3" s="369" t="s">
        <v>714</v>
      </c>
      <c r="C3" s="288" t="s">
        <v>982</v>
      </c>
      <c r="D3" s="403" t="s">
        <v>715</v>
      </c>
      <c r="E3" s="288" t="s">
        <v>983</v>
      </c>
      <c r="F3" s="80" t="s">
        <v>984</v>
      </c>
      <c r="G3" s="81" t="s">
        <v>985</v>
      </c>
      <c r="H3" s="82" t="s">
        <v>375</v>
      </c>
      <c r="I3" s="81" t="s">
        <v>986</v>
      </c>
      <c r="J3" s="83" t="s">
        <v>375</v>
      </c>
    </row>
    <row r="4" spans="2:16" ht="50.1" customHeight="1">
      <c r="B4" s="370"/>
      <c r="C4" s="289"/>
      <c r="D4" s="404"/>
      <c r="E4" s="289"/>
      <c r="F4" s="28" t="s">
        <v>926</v>
      </c>
      <c r="G4" s="28" t="s">
        <v>977</v>
      </c>
      <c r="H4" s="28" t="s">
        <v>152</v>
      </c>
      <c r="I4" s="28" t="s">
        <v>987</v>
      </c>
      <c r="J4" s="55" t="s">
        <v>152</v>
      </c>
    </row>
    <row r="5" spans="2:16" ht="50.1" customHeight="1" thickBot="1">
      <c r="B5" s="371"/>
      <c r="C5" s="290"/>
      <c r="D5" s="405"/>
      <c r="E5" s="290"/>
      <c r="F5" s="53" t="s">
        <v>928</v>
      </c>
      <c r="G5" s="53" t="s">
        <v>988</v>
      </c>
      <c r="H5" s="53" t="s">
        <v>146</v>
      </c>
      <c r="I5" s="53" t="s">
        <v>989</v>
      </c>
      <c r="J5" s="54" t="s">
        <v>146</v>
      </c>
    </row>
    <row r="6" spans="2:16" ht="50.1" customHeight="1" thickBot="1">
      <c r="B6" s="69" t="s">
        <v>389</v>
      </c>
      <c r="C6" s="68" t="s">
        <v>990</v>
      </c>
      <c r="D6" s="70" t="s">
        <v>991</v>
      </c>
      <c r="E6" s="68" t="s">
        <v>992</v>
      </c>
      <c r="F6" s="77" t="s">
        <v>993</v>
      </c>
      <c r="G6" s="24" t="s">
        <v>662</v>
      </c>
      <c r="H6" s="24" t="s">
        <v>152</v>
      </c>
      <c r="I6" s="24" t="s">
        <v>784</v>
      </c>
      <c r="J6" s="29" t="s">
        <v>152</v>
      </c>
    </row>
    <row r="7" spans="2:16" ht="50.1" customHeight="1" thickBot="1">
      <c r="B7" s="64" t="s">
        <v>394</v>
      </c>
      <c r="C7" s="66" t="s">
        <v>994</v>
      </c>
      <c r="D7" s="65" t="s">
        <v>995</v>
      </c>
      <c r="E7" s="66" t="s">
        <v>996</v>
      </c>
      <c r="F7" s="77" t="s">
        <v>993</v>
      </c>
      <c r="G7" s="24" t="s">
        <v>662</v>
      </c>
      <c r="H7" s="24" t="s">
        <v>152</v>
      </c>
      <c r="I7" s="24" t="s">
        <v>732</v>
      </c>
      <c r="J7" s="67" t="s">
        <v>152</v>
      </c>
    </row>
    <row r="8" spans="2:16" ht="50.1" customHeight="1">
      <c r="B8" s="327" t="s">
        <v>707</v>
      </c>
      <c r="C8" s="315" t="s">
        <v>997</v>
      </c>
      <c r="D8" s="324" t="s">
        <v>708</v>
      </c>
      <c r="E8" s="315" t="s">
        <v>998</v>
      </c>
      <c r="F8" s="80" t="s">
        <v>984</v>
      </c>
      <c r="G8" s="84" t="s">
        <v>710</v>
      </c>
      <c r="H8" s="85" t="s">
        <v>163</v>
      </c>
      <c r="I8" s="86" t="s">
        <v>957</v>
      </c>
      <c r="J8" s="87" t="s">
        <v>163</v>
      </c>
      <c r="L8" s="2"/>
    </row>
    <row r="9" spans="2:16" ht="50.1" customHeight="1">
      <c r="B9" s="328"/>
      <c r="C9" s="316"/>
      <c r="D9" s="325"/>
      <c r="E9" s="316"/>
      <c r="F9" s="74" t="s">
        <v>926</v>
      </c>
      <c r="G9" s="74" t="s">
        <v>774</v>
      </c>
      <c r="H9" s="31" t="s">
        <v>152</v>
      </c>
      <c r="I9" s="75" t="s">
        <v>927</v>
      </c>
      <c r="J9" s="76" t="s">
        <v>152</v>
      </c>
    </row>
    <row r="10" spans="2:16" ht="50.1" customHeight="1" thickBot="1">
      <c r="B10" s="329"/>
      <c r="C10" s="317"/>
      <c r="D10" s="326"/>
      <c r="E10" s="317"/>
      <c r="F10" s="78" t="s">
        <v>960</v>
      </c>
      <c r="G10" s="384" t="s">
        <v>942</v>
      </c>
      <c r="H10" s="385"/>
      <c r="I10" s="385"/>
      <c r="J10" s="386"/>
    </row>
    <row r="11" spans="2:16" ht="50.1" customHeight="1">
      <c r="B11" s="420" t="s">
        <v>389</v>
      </c>
      <c r="C11" s="421" t="s">
        <v>999</v>
      </c>
      <c r="D11" s="422" t="s">
        <v>1000</v>
      </c>
      <c r="E11" s="421" t="s">
        <v>1001</v>
      </c>
      <c r="F11" s="108" t="s">
        <v>838</v>
      </c>
      <c r="G11" s="108" t="s">
        <v>662</v>
      </c>
      <c r="H11" s="108" t="s">
        <v>152</v>
      </c>
      <c r="I11" s="108" t="s">
        <v>784</v>
      </c>
      <c r="J11" s="83" t="s">
        <v>152</v>
      </c>
      <c r="L11" s="3"/>
    </row>
    <row r="12" spans="2:16" ht="50.1" customHeight="1">
      <c r="B12" s="328"/>
      <c r="C12" s="316"/>
      <c r="D12" s="325"/>
      <c r="E12" s="316"/>
      <c r="F12" s="98" t="s">
        <v>926</v>
      </c>
      <c r="G12" s="28" t="s">
        <v>732</v>
      </c>
      <c r="H12" s="28" t="s">
        <v>152</v>
      </c>
      <c r="I12" s="28" t="s">
        <v>824</v>
      </c>
      <c r="J12" s="55" t="s">
        <v>152</v>
      </c>
      <c r="L12" s="3"/>
    </row>
    <row r="13" spans="2:16" ht="50.1" customHeight="1">
      <c r="B13" s="371"/>
      <c r="C13" s="290"/>
      <c r="D13" s="395"/>
      <c r="E13" s="290"/>
      <c r="F13" s="97" t="s">
        <v>960</v>
      </c>
      <c r="G13" s="423" t="s">
        <v>942</v>
      </c>
      <c r="H13" s="424"/>
      <c r="I13" s="424"/>
      <c r="J13" s="425"/>
      <c r="K13" s="3"/>
      <c r="L13" s="3"/>
      <c r="M13" s="3"/>
      <c r="N13" s="3"/>
      <c r="O13" s="3"/>
      <c r="P13" s="3"/>
    </row>
    <row r="14" spans="2:16" ht="50.1" customHeight="1">
      <c r="B14" s="415" t="s">
        <v>405</v>
      </c>
      <c r="C14" s="288" t="s">
        <v>1002</v>
      </c>
      <c r="D14" s="403" t="s">
        <v>1003</v>
      </c>
      <c r="E14" s="288" t="s">
        <v>1004</v>
      </c>
      <c r="F14" s="80" t="s">
        <v>838</v>
      </c>
      <c r="G14" s="81" t="s">
        <v>662</v>
      </c>
      <c r="H14" s="81" t="s">
        <v>152</v>
      </c>
      <c r="I14" s="81" t="s">
        <v>732</v>
      </c>
      <c r="J14" s="83" t="s">
        <v>152</v>
      </c>
    </row>
    <row r="15" spans="2:16" ht="50.1" customHeight="1">
      <c r="B15" s="416"/>
      <c r="C15" s="289"/>
      <c r="D15" s="404"/>
      <c r="E15" s="289"/>
      <c r="F15" s="98" t="s">
        <v>926</v>
      </c>
      <c r="G15" s="98" t="s">
        <v>732</v>
      </c>
      <c r="H15" s="98" t="s">
        <v>152</v>
      </c>
      <c r="I15" s="98" t="s">
        <v>662</v>
      </c>
      <c r="J15" s="55" t="s">
        <v>152</v>
      </c>
    </row>
    <row r="16" spans="2:16" ht="50.1" customHeight="1" thickBot="1">
      <c r="B16" s="417"/>
      <c r="C16" s="290"/>
      <c r="D16" s="405"/>
      <c r="E16" s="290"/>
      <c r="F16" s="78" t="s">
        <v>960</v>
      </c>
      <c r="G16" s="418" t="s">
        <v>942</v>
      </c>
      <c r="H16" s="418"/>
      <c r="I16" s="418"/>
      <c r="J16" s="419"/>
    </row>
    <row r="17" spans="2:10" ht="50.1" customHeight="1">
      <c r="B17" s="415" t="s">
        <v>417</v>
      </c>
      <c r="C17" s="288" t="s">
        <v>1005</v>
      </c>
      <c r="D17" s="403" t="s">
        <v>419</v>
      </c>
      <c r="E17" s="288" t="s">
        <v>1006</v>
      </c>
      <c r="F17" s="80" t="s">
        <v>838</v>
      </c>
      <c r="G17" s="81" t="s">
        <v>824</v>
      </c>
      <c r="H17" s="81" t="s">
        <v>152</v>
      </c>
      <c r="I17" s="81" t="s">
        <v>784</v>
      </c>
      <c r="J17" s="83" t="s">
        <v>152</v>
      </c>
    </row>
    <row r="18" spans="2:10" ht="50.1" customHeight="1">
      <c r="B18" s="416"/>
      <c r="C18" s="289"/>
      <c r="D18" s="404"/>
      <c r="E18" s="289"/>
      <c r="F18" s="98" t="s">
        <v>926</v>
      </c>
      <c r="G18" s="98" t="s">
        <v>1007</v>
      </c>
      <c r="H18" s="98" t="s">
        <v>152</v>
      </c>
      <c r="I18" s="98" t="s">
        <v>784</v>
      </c>
      <c r="J18" s="55" t="s">
        <v>152</v>
      </c>
    </row>
    <row r="19" spans="2:10" ht="50.1" customHeight="1" thickBot="1">
      <c r="B19" s="417"/>
      <c r="C19" s="290"/>
      <c r="D19" s="405"/>
      <c r="E19" s="290"/>
      <c r="F19" s="78" t="s">
        <v>960</v>
      </c>
      <c r="G19" s="418" t="s">
        <v>942</v>
      </c>
      <c r="H19" s="418"/>
      <c r="I19" s="418"/>
      <c r="J19" s="419"/>
    </row>
  </sheetData>
  <mergeCells count="25">
    <mergeCell ref="G10:J10"/>
    <mergeCell ref="B11:B13"/>
    <mergeCell ref="C11:C13"/>
    <mergeCell ref="D11:D13"/>
    <mergeCell ref="E11:E13"/>
    <mergeCell ref="B8:B10"/>
    <mergeCell ref="C8:C10"/>
    <mergeCell ref="D8:D10"/>
    <mergeCell ref="E8:E10"/>
    <mergeCell ref="G13:J13"/>
    <mergeCell ref="B1:J1"/>
    <mergeCell ref="B3:B5"/>
    <mergeCell ref="C3:C5"/>
    <mergeCell ref="D3:D5"/>
    <mergeCell ref="E3:E5"/>
    <mergeCell ref="B14:B16"/>
    <mergeCell ref="C14:C16"/>
    <mergeCell ref="D14:D16"/>
    <mergeCell ref="E14:E16"/>
    <mergeCell ref="G16:J16"/>
    <mergeCell ref="B17:B19"/>
    <mergeCell ref="C17:C19"/>
    <mergeCell ref="D17:D19"/>
    <mergeCell ref="E17:E19"/>
    <mergeCell ref="G19:J19"/>
  </mergeCells>
  <hyperlinks>
    <hyperlink ref="C3:C5" r:id="rId1" display="https://sei.cjf.jus.br/sei/controlador.php?acao=procedimento_trabalhar&amp;id_procedimento=430816&amp;id_documento=557296" xr:uid="{8904D4A2-F684-4AB8-B639-27A8CE63C3B9}"/>
    <hyperlink ref="E3:E5" r:id="rId2" display="https://sei.cjf.jus.br/sei/controlador.php?acao=procedimento_trabalhar&amp;id_procedimento=430816&amp;id_documento=565606" xr:uid="{882401A9-C3B5-422B-959C-2661C90C5423}"/>
    <hyperlink ref="C6" r:id="rId3" display="https://sei.cjf.jus.br/sei/controlador.php?acao=procedimento_trabalhar&amp;id_procedimento=464462&amp;id_documento=567420" xr:uid="{347759FB-B256-4FBD-8EC3-FB79C974C95A}"/>
    <hyperlink ref="E6" r:id="rId4" display="https://sei.cjf.jus.br/sei/controlador.php?acao=procedimento_trabalhar&amp;id_procedimento=464462&amp;id_documento=576310" xr:uid="{7FA8CC18-660D-4619-8FD2-606207AB5E5E}"/>
    <hyperlink ref="C7" r:id="rId5" display="https://sei.cjf.jus.br/sei/controlador.php?acao=procedimento_trabalhar&amp;id_procedimento=464461&amp;id_documento=573678" xr:uid="{B049475C-6A82-4586-A8E6-93873D1B0D25}"/>
    <hyperlink ref="E7" r:id="rId6" display="https://sei.cjf.jus.br/sei/controlador.php?acao=procedimento_trabalhar&amp;id_procedimento=464461&amp;id_documento=576308" xr:uid="{49E457BC-9365-4068-A3D1-AC80A4411CCF}"/>
    <hyperlink ref="C8:C9" r:id="rId7" display="https://sei.cjf.jus.br/sei/controlador.php?acao=procedimento_trabalhar&amp;id_procedimento=442372&amp;id_documento=561423" xr:uid="{8F09BC24-34C7-403B-ACFA-FA1EFA631E28}"/>
    <hyperlink ref="E8:E9" r:id="rId8" display="https://sei.cjf.jus.br/sei/controlador.php?acao=procedimento_trabalhar&amp;id_procedimento=442372&amp;id_documento=564620" xr:uid="{40391FF7-3445-4817-BD5D-F1C6D85D1574}"/>
  </hyperlinks>
  <pageMargins left="0.25" right="0.25" top="0.75" bottom="0.75" header="0.3" footer="0.3"/>
  <pageSetup paperSize="9" scale="40" fitToWidth="0" orientation="landscape" r:id="rId9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CAB9-1F08-451C-B253-0D2AA93DE7FE}">
  <sheetPr>
    <pageSetUpPr fitToPage="1"/>
  </sheetPr>
  <dimension ref="B1:P130"/>
  <sheetViews>
    <sheetView zoomScale="80" zoomScaleNormal="80" workbookViewId="0">
      <pane ySplit="2" topLeftCell="A3" activePane="bottomLeft" state="frozen"/>
      <selection pane="bottomLeft" activeCell="B2" sqref="B2:J2"/>
    </sheetView>
  </sheetViews>
  <sheetFormatPr defaultRowHeight="95.25" customHeight="1"/>
  <cols>
    <col min="1" max="1" width="3.42578125" customWidth="1"/>
    <col min="2" max="3" width="27.42578125" customWidth="1"/>
    <col min="4" max="4" width="43.140625" customWidth="1"/>
    <col min="5" max="5" width="18.42578125" customWidth="1"/>
    <col min="6" max="6" width="23.5703125" customWidth="1"/>
    <col min="7" max="7" width="50.7109375" customWidth="1"/>
    <col min="8" max="8" width="15" customWidth="1"/>
    <col min="9" max="9" width="44.42578125" customWidth="1"/>
    <col min="10" max="10" width="15.5703125" customWidth="1"/>
    <col min="12" max="12" width="11.85546875" bestFit="1" customWidth="1"/>
  </cols>
  <sheetData>
    <row r="1" spans="2:16" ht="75" customHeight="1" thickBot="1">
      <c r="B1" s="439" t="s">
        <v>1008</v>
      </c>
      <c r="C1" s="440"/>
      <c r="D1" s="441"/>
      <c r="E1" s="441"/>
      <c r="F1" s="441"/>
      <c r="G1" s="441"/>
      <c r="H1" s="441"/>
      <c r="I1" s="441"/>
      <c r="J1" s="442"/>
    </row>
    <row r="2" spans="2:16" ht="33.75" customHeight="1" thickBot="1">
      <c r="B2" s="155" t="s">
        <v>2</v>
      </c>
      <c r="C2" s="156" t="s">
        <v>919</v>
      </c>
      <c r="D2" s="157" t="s">
        <v>643</v>
      </c>
      <c r="E2" s="167" t="s">
        <v>644</v>
      </c>
      <c r="F2" s="158" t="s">
        <v>920</v>
      </c>
      <c r="G2" s="158" t="s">
        <v>646</v>
      </c>
      <c r="H2" s="159" t="s">
        <v>647</v>
      </c>
      <c r="I2" s="158" t="s">
        <v>648</v>
      </c>
      <c r="J2" s="160" t="s">
        <v>647</v>
      </c>
    </row>
    <row r="3" spans="2:16" ht="50.1" customHeight="1">
      <c r="B3" s="369" t="s">
        <v>270</v>
      </c>
      <c r="C3" s="390" t="s">
        <v>1009</v>
      </c>
      <c r="D3" s="403" t="s">
        <v>1010</v>
      </c>
      <c r="E3" s="407" t="s">
        <v>1011</v>
      </c>
      <c r="F3" s="80" t="s">
        <v>984</v>
      </c>
      <c r="G3" s="81" t="s">
        <v>932</v>
      </c>
      <c r="H3" s="82" t="s">
        <v>203</v>
      </c>
      <c r="I3" s="81" t="s">
        <v>1012</v>
      </c>
      <c r="J3" s="83" t="s">
        <v>203</v>
      </c>
    </row>
    <row r="4" spans="2:16" ht="50.1" customHeight="1">
      <c r="B4" s="370"/>
      <c r="C4" s="391"/>
      <c r="D4" s="404"/>
      <c r="E4" s="407"/>
      <c r="F4" s="28" t="s">
        <v>926</v>
      </c>
      <c r="G4" s="28" t="s">
        <v>818</v>
      </c>
      <c r="H4" s="28" t="s">
        <v>152</v>
      </c>
      <c r="I4" s="28" t="s">
        <v>662</v>
      </c>
      <c r="J4" s="55" t="s">
        <v>152</v>
      </c>
    </row>
    <row r="5" spans="2:16" ht="50.1" customHeight="1" thickBot="1">
      <c r="B5" s="371"/>
      <c r="C5" s="392"/>
      <c r="D5" s="405"/>
      <c r="E5" s="407"/>
      <c r="F5" s="78" t="s">
        <v>960</v>
      </c>
      <c r="G5" s="384" t="s">
        <v>942</v>
      </c>
      <c r="H5" s="385"/>
      <c r="I5" s="385"/>
      <c r="J5" s="386"/>
    </row>
    <row r="6" spans="2:16" ht="50.1" customHeight="1">
      <c r="B6" s="327" t="s">
        <v>116</v>
      </c>
      <c r="C6" s="390" t="s">
        <v>1013</v>
      </c>
      <c r="D6" s="403" t="s">
        <v>1014</v>
      </c>
      <c r="E6" s="390" t="s">
        <v>1015</v>
      </c>
      <c r="F6" s="80" t="s">
        <v>984</v>
      </c>
      <c r="G6" s="84" t="s">
        <v>1016</v>
      </c>
      <c r="H6" s="85" t="s">
        <v>117</v>
      </c>
      <c r="I6" s="86" t="s">
        <v>1017</v>
      </c>
      <c r="J6" s="87" t="s">
        <v>117</v>
      </c>
      <c r="L6" s="2"/>
    </row>
    <row r="7" spans="2:16" ht="50.1" customHeight="1">
      <c r="B7" s="328"/>
      <c r="C7" s="391"/>
      <c r="D7" s="404"/>
      <c r="E7" s="391"/>
      <c r="F7" s="74" t="s">
        <v>926</v>
      </c>
      <c r="G7" s="74" t="s">
        <v>824</v>
      </c>
      <c r="H7" s="31" t="s">
        <v>152</v>
      </c>
      <c r="I7" s="75" t="s">
        <v>662</v>
      </c>
      <c r="J7" s="76" t="s">
        <v>152</v>
      </c>
    </row>
    <row r="8" spans="2:16" ht="50.1" customHeight="1" thickBot="1">
      <c r="B8" s="329"/>
      <c r="C8" s="392"/>
      <c r="D8" s="405"/>
      <c r="E8" s="392"/>
      <c r="F8" s="78" t="s">
        <v>960</v>
      </c>
      <c r="G8" s="384" t="s">
        <v>942</v>
      </c>
      <c r="H8" s="385"/>
      <c r="I8" s="385"/>
      <c r="J8" s="386"/>
    </row>
    <row r="9" spans="2:16" ht="50.1" customHeight="1">
      <c r="B9" s="327" t="s">
        <v>389</v>
      </c>
      <c r="C9" s="390" t="s">
        <v>1018</v>
      </c>
      <c r="D9" s="403" t="s">
        <v>1019</v>
      </c>
      <c r="E9" s="390" t="s">
        <v>1020</v>
      </c>
      <c r="F9" s="108" t="s">
        <v>838</v>
      </c>
      <c r="G9" s="108" t="s">
        <v>877</v>
      </c>
      <c r="H9" s="108" t="s">
        <v>152</v>
      </c>
      <c r="I9" s="108" t="s">
        <v>840</v>
      </c>
      <c r="J9" s="83" t="s">
        <v>152</v>
      </c>
      <c r="L9" s="3"/>
    </row>
    <row r="10" spans="2:16" ht="50.1" customHeight="1">
      <c r="B10" s="328"/>
      <c r="C10" s="391"/>
      <c r="D10" s="404"/>
      <c r="E10" s="391"/>
      <c r="F10" s="98" t="s">
        <v>926</v>
      </c>
      <c r="G10" s="28" t="s">
        <v>840</v>
      </c>
      <c r="H10" s="28" t="s">
        <v>152</v>
      </c>
      <c r="I10" s="28" t="s">
        <v>877</v>
      </c>
      <c r="J10" s="55" t="s">
        <v>152</v>
      </c>
      <c r="L10" s="3"/>
    </row>
    <row r="11" spans="2:16" ht="50.1" customHeight="1" thickBot="1">
      <c r="B11" s="329"/>
      <c r="C11" s="392"/>
      <c r="D11" s="405"/>
      <c r="E11" s="392"/>
      <c r="F11" s="97" t="s">
        <v>960</v>
      </c>
      <c r="G11" s="423" t="s">
        <v>942</v>
      </c>
      <c r="H11" s="424"/>
      <c r="I11" s="424"/>
      <c r="J11" s="425"/>
      <c r="K11" s="3"/>
      <c r="L11" s="3"/>
      <c r="M11" s="3"/>
      <c r="N11" s="3"/>
      <c r="O11" s="3"/>
      <c r="P11" s="3"/>
    </row>
    <row r="12" spans="2:16" ht="50.1" customHeight="1">
      <c r="B12" s="415" t="s">
        <v>950</v>
      </c>
      <c r="C12" s="407" t="s">
        <v>1021</v>
      </c>
      <c r="D12" s="403" t="s">
        <v>1022</v>
      </c>
      <c r="E12" s="390" t="s">
        <v>1023</v>
      </c>
      <c r="F12" s="80" t="s">
        <v>838</v>
      </c>
      <c r="G12" s="108" t="s">
        <v>662</v>
      </c>
      <c r="H12" s="81" t="s">
        <v>152</v>
      </c>
      <c r="I12" s="81" t="s">
        <v>824</v>
      </c>
      <c r="J12" s="83" t="s">
        <v>152</v>
      </c>
      <c r="L12" s="3"/>
    </row>
    <row r="13" spans="2:16" ht="50.1" customHeight="1">
      <c r="B13" s="416"/>
      <c r="C13" s="407"/>
      <c r="D13" s="404"/>
      <c r="E13" s="391"/>
      <c r="F13" s="98" t="s">
        <v>926</v>
      </c>
      <c r="G13" s="28" t="s">
        <v>824</v>
      </c>
      <c r="H13" s="98" t="s">
        <v>152</v>
      </c>
      <c r="I13" s="98" t="s">
        <v>662</v>
      </c>
      <c r="J13" s="55" t="s">
        <v>152</v>
      </c>
    </row>
    <row r="14" spans="2:16" ht="50.1" customHeight="1" thickBot="1">
      <c r="B14" s="417"/>
      <c r="C14" s="407"/>
      <c r="D14" s="405"/>
      <c r="E14" s="392"/>
      <c r="F14" s="78" t="s">
        <v>960</v>
      </c>
      <c r="G14" s="418" t="s">
        <v>942</v>
      </c>
      <c r="H14" s="418"/>
      <c r="I14" s="418"/>
      <c r="J14" s="419"/>
    </row>
    <row r="15" spans="2:16" ht="50.1" customHeight="1">
      <c r="B15" s="415" t="s">
        <v>443</v>
      </c>
      <c r="C15" s="390" t="s">
        <v>1024</v>
      </c>
      <c r="D15" s="403" t="s">
        <v>536</v>
      </c>
      <c r="E15" s="390" t="s">
        <v>540</v>
      </c>
      <c r="F15" s="80" t="s">
        <v>838</v>
      </c>
      <c r="G15" s="81" t="s">
        <v>662</v>
      </c>
      <c r="H15" s="81" t="s">
        <v>152</v>
      </c>
      <c r="I15" s="81" t="s">
        <v>877</v>
      </c>
      <c r="J15" s="83" t="s">
        <v>152</v>
      </c>
    </row>
    <row r="16" spans="2:16" ht="50.1" customHeight="1">
      <c r="B16" s="416"/>
      <c r="C16" s="391"/>
      <c r="D16" s="404"/>
      <c r="E16" s="391"/>
      <c r="F16" s="98" t="s">
        <v>926</v>
      </c>
      <c r="G16" s="98" t="s">
        <v>877</v>
      </c>
      <c r="H16" s="98" t="s">
        <v>152</v>
      </c>
      <c r="I16" s="98" t="s">
        <v>840</v>
      </c>
      <c r="J16" s="55" t="s">
        <v>152</v>
      </c>
    </row>
    <row r="17" spans="2:10" ht="50.1" customHeight="1" thickBot="1">
      <c r="B17" s="417"/>
      <c r="C17" s="392"/>
      <c r="D17" s="405"/>
      <c r="E17" s="392"/>
      <c r="F17" s="78" t="s">
        <v>960</v>
      </c>
      <c r="G17" s="418" t="s">
        <v>942</v>
      </c>
      <c r="H17" s="418"/>
      <c r="I17" s="418"/>
      <c r="J17" s="419"/>
    </row>
    <row r="18" spans="2:10" ht="50.1" customHeight="1">
      <c r="B18" s="415" t="s">
        <v>332</v>
      </c>
      <c r="C18" s="390" t="s">
        <v>1025</v>
      </c>
      <c r="D18" s="403" t="s">
        <v>1026</v>
      </c>
      <c r="E18" s="390" t="s">
        <v>1027</v>
      </c>
      <c r="F18" s="80" t="s">
        <v>838</v>
      </c>
      <c r="G18" s="81" t="s">
        <v>877</v>
      </c>
      <c r="H18" s="81" t="s">
        <v>152</v>
      </c>
      <c r="I18" s="81" t="s">
        <v>662</v>
      </c>
      <c r="J18" s="83" t="s">
        <v>152</v>
      </c>
    </row>
    <row r="19" spans="2:10" ht="50.1" customHeight="1">
      <c r="B19" s="416"/>
      <c r="C19" s="391"/>
      <c r="D19" s="404"/>
      <c r="E19" s="391"/>
      <c r="F19" s="98" t="s">
        <v>926</v>
      </c>
      <c r="G19" s="98" t="s">
        <v>662</v>
      </c>
      <c r="H19" s="98" t="s">
        <v>152</v>
      </c>
      <c r="I19" s="98" t="s">
        <v>840</v>
      </c>
      <c r="J19" s="55" t="s">
        <v>152</v>
      </c>
    </row>
    <row r="20" spans="2:10" ht="50.1" customHeight="1" thickBot="1">
      <c r="B20" s="417"/>
      <c r="C20" s="392"/>
      <c r="D20" s="405"/>
      <c r="E20" s="392"/>
      <c r="F20" s="78" t="s">
        <v>960</v>
      </c>
      <c r="G20" s="418" t="s">
        <v>942</v>
      </c>
      <c r="H20" s="418"/>
      <c r="I20" s="418"/>
      <c r="J20" s="419"/>
    </row>
    <row r="21" spans="2:10" ht="50.1" customHeight="1">
      <c r="B21" s="415" t="s">
        <v>438</v>
      </c>
      <c r="C21" s="390" t="s">
        <v>1028</v>
      </c>
      <c r="D21" s="403" t="s">
        <v>1029</v>
      </c>
      <c r="E21" s="390" t="s">
        <v>1030</v>
      </c>
      <c r="F21" s="80" t="s">
        <v>838</v>
      </c>
      <c r="G21" s="81" t="s">
        <v>824</v>
      </c>
      <c r="H21" s="81" t="s">
        <v>152</v>
      </c>
      <c r="I21" s="81" t="s">
        <v>662</v>
      </c>
      <c r="J21" s="83" t="s">
        <v>152</v>
      </c>
    </row>
    <row r="22" spans="2:10" ht="50.1" customHeight="1">
      <c r="B22" s="416"/>
      <c r="C22" s="391"/>
      <c r="D22" s="404"/>
      <c r="E22" s="391"/>
      <c r="F22" s="98" t="s">
        <v>926</v>
      </c>
      <c r="G22" s="98" t="s">
        <v>797</v>
      </c>
      <c r="H22" s="98" t="s">
        <v>152</v>
      </c>
      <c r="I22" s="98" t="s">
        <v>818</v>
      </c>
      <c r="J22" s="55" t="s">
        <v>152</v>
      </c>
    </row>
    <row r="23" spans="2:10" ht="50.1" customHeight="1">
      <c r="B23" s="417"/>
      <c r="C23" s="392"/>
      <c r="D23" s="405"/>
      <c r="E23" s="392"/>
      <c r="F23" s="78" t="s">
        <v>960</v>
      </c>
      <c r="G23" s="418" t="s">
        <v>942</v>
      </c>
      <c r="H23" s="418"/>
      <c r="I23" s="418"/>
      <c r="J23" s="419"/>
    </row>
    <row r="24" spans="2:10" ht="50.1" customHeight="1">
      <c r="B24" s="415" t="s">
        <v>361</v>
      </c>
      <c r="C24" s="390" t="s">
        <v>1031</v>
      </c>
      <c r="D24" s="403" t="s">
        <v>1032</v>
      </c>
      <c r="E24" s="390" t="s">
        <v>1033</v>
      </c>
      <c r="F24" s="80" t="s">
        <v>838</v>
      </c>
      <c r="G24" s="81" t="s">
        <v>662</v>
      </c>
      <c r="H24" s="82" t="s">
        <v>152</v>
      </c>
      <c r="I24" s="81" t="s">
        <v>824</v>
      </c>
      <c r="J24" s="87" t="s">
        <v>152</v>
      </c>
    </row>
    <row r="25" spans="2:10" ht="50.1" customHeight="1">
      <c r="B25" s="416"/>
      <c r="C25" s="391"/>
      <c r="D25" s="404"/>
      <c r="E25" s="391"/>
      <c r="F25" s="98" t="s">
        <v>926</v>
      </c>
      <c r="G25" s="39" t="s">
        <v>824</v>
      </c>
      <c r="H25" s="20" t="s">
        <v>152</v>
      </c>
      <c r="I25" s="20" t="s">
        <v>662</v>
      </c>
      <c r="J25" s="26" t="s">
        <v>152</v>
      </c>
    </row>
    <row r="26" spans="2:10" ht="50.1" customHeight="1">
      <c r="B26" s="417"/>
      <c r="C26" s="392"/>
      <c r="D26" s="405"/>
      <c r="E26" s="392"/>
      <c r="F26" s="78" t="s">
        <v>960</v>
      </c>
      <c r="G26" s="384" t="s">
        <v>942</v>
      </c>
      <c r="H26" s="385"/>
      <c r="I26" s="385"/>
      <c r="J26" s="386"/>
    </row>
    <row r="27" spans="2:10" ht="50.1" customHeight="1">
      <c r="B27" s="415" t="s">
        <v>293</v>
      </c>
      <c r="C27" s="390" t="s">
        <v>1034</v>
      </c>
      <c r="D27" s="403" t="s">
        <v>1035</v>
      </c>
      <c r="E27" s="390" t="s">
        <v>1036</v>
      </c>
      <c r="F27" s="80" t="s">
        <v>838</v>
      </c>
      <c r="G27" s="81" t="s">
        <v>877</v>
      </c>
      <c r="H27" s="81" t="s">
        <v>152</v>
      </c>
      <c r="I27" s="81" t="s">
        <v>840</v>
      </c>
      <c r="J27" s="83" t="s">
        <v>152</v>
      </c>
    </row>
    <row r="28" spans="2:10" ht="50.1" customHeight="1">
      <c r="B28" s="416"/>
      <c r="C28" s="391"/>
      <c r="D28" s="404"/>
      <c r="E28" s="391"/>
      <c r="F28" s="98" t="s">
        <v>926</v>
      </c>
      <c r="G28" s="98" t="s">
        <v>840</v>
      </c>
      <c r="H28" s="98" t="s">
        <v>152</v>
      </c>
      <c r="I28" s="98" t="s">
        <v>877</v>
      </c>
      <c r="J28" s="55" t="s">
        <v>152</v>
      </c>
    </row>
    <row r="29" spans="2:10" ht="50.1" customHeight="1" thickBot="1">
      <c r="B29" s="417"/>
      <c r="C29" s="392"/>
      <c r="D29" s="405"/>
      <c r="E29" s="392"/>
      <c r="F29" s="78" t="s">
        <v>960</v>
      </c>
      <c r="G29" s="418" t="s">
        <v>942</v>
      </c>
      <c r="H29" s="418"/>
      <c r="I29" s="418"/>
      <c r="J29" s="419"/>
    </row>
    <row r="30" spans="2:10" ht="50.1" customHeight="1">
      <c r="B30" s="415" t="s">
        <v>405</v>
      </c>
      <c r="C30" s="390" t="s">
        <v>1002</v>
      </c>
      <c r="D30" s="403" t="s">
        <v>1037</v>
      </c>
      <c r="E30" s="390" t="s">
        <v>1038</v>
      </c>
      <c r="F30" s="80" t="s">
        <v>838</v>
      </c>
      <c r="G30" s="81" t="s">
        <v>662</v>
      </c>
      <c r="H30" s="81" t="s">
        <v>152</v>
      </c>
      <c r="I30" s="81" t="s">
        <v>824</v>
      </c>
      <c r="J30" s="83" t="s">
        <v>152</v>
      </c>
    </row>
    <row r="31" spans="2:10" ht="50.1" customHeight="1">
      <c r="B31" s="416"/>
      <c r="C31" s="391"/>
      <c r="D31" s="404"/>
      <c r="E31" s="391"/>
      <c r="F31" s="98" t="s">
        <v>926</v>
      </c>
      <c r="G31" s="98" t="s">
        <v>824</v>
      </c>
      <c r="H31" s="98" t="s">
        <v>152</v>
      </c>
      <c r="I31" s="98" t="s">
        <v>662</v>
      </c>
      <c r="J31" s="55" t="s">
        <v>152</v>
      </c>
    </row>
    <row r="32" spans="2:10" ht="50.1" customHeight="1" thickBot="1">
      <c r="B32" s="417"/>
      <c r="C32" s="392"/>
      <c r="D32" s="405"/>
      <c r="E32" s="392"/>
      <c r="F32" s="78" t="s">
        <v>960</v>
      </c>
      <c r="G32" s="418" t="s">
        <v>942</v>
      </c>
      <c r="H32" s="418"/>
      <c r="I32" s="418"/>
      <c r="J32" s="419"/>
    </row>
    <row r="33" spans="2:10" ht="50.1" customHeight="1">
      <c r="B33" s="415" t="s">
        <v>422</v>
      </c>
      <c r="C33" s="390" t="s">
        <v>1039</v>
      </c>
      <c r="D33" s="403" t="s">
        <v>1040</v>
      </c>
      <c r="E33" s="390" t="s">
        <v>1041</v>
      </c>
      <c r="F33" s="80" t="s">
        <v>838</v>
      </c>
      <c r="G33" s="81" t="s">
        <v>877</v>
      </c>
      <c r="H33" s="81" t="s">
        <v>152</v>
      </c>
      <c r="I33" s="81" t="s">
        <v>662</v>
      </c>
      <c r="J33" s="83" t="s">
        <v>152</v>
      </c>
    </row>
    <row r="34" spans="2:10" ht="50.1" customHeight="1">
      <c r="B34" s="416"/>
      <c r="C34" s="391"/>
      <c r="D34" s="404"/>
      <c r="E34" s="391"/>
      <c r="F34" s="98" t="s">
        <v>926</v>
      </c>
      <c r="G34" s="98" t="s">
        <v>840</v>
      </c>
      <c r="H34" s="98" t="s">
        <v>152</v>
      </c>
      <c r="I34" s="98" t="s">
        <v>877</v>
      </c>
      <c r="J34" s="55" t="s">
        <v>152</v>
      </c>
    </row>
    <row r="35" spans="2:10" ht="50.1" customHeight="1">
      <c r="B35" s="417"/>
      <c r="C35" s="392"/>
      <c r="D35" s="405"/>
      <c r="E35" s="392"/>
      <c r="F35" s="78" t="s">
        <v>960</v>
      </c>
      <c r="G35" s="418" t="s">
        <v>942</v>
      </c>
      <c r="H35" s="418"/>
      <c r="I35" s="418"/>
      <c r="J35" s="419"/>
    </row>
    <row r="36" spans="2:10" ht="50.1" customHeight="1">
      <c r="B36" s="415" t="s">
        <v>172</v>
      </c>
      <c r="C36" s="390" t="s">
        <v>1042</v>
      </c>
      <c r="D36" s="403" t="s">
        <v>1043</v>
      </c>
      <c r="E36" s="390" t="s">
        <v>1044</v>
      </c>
      <c r="F36" s="80" t="s">
        <v>838</v>
      </c>
      <c r="G36" s="81" t="s">
        <v>662</v>
      </c>
      <c r="H36" s="81" t="s">
        <v>152</v>
      </c>
      <c r="I36" s="81" t="s">
        <v>877</v>
      </c>
      <c r="J36" s="83" t="s">
        <v>152</v>
      </c>
    </row>
    <row r="37" spans="2:10" ht="50.1" customHeight="1">
      <c r="B37" s="416"/>
      <c r="C37" s="391"/>
      <c r="D37" s="404"/>
      <c r="E37" s="391"/>
      <c r="F37" s="98" t="s">
        <v>926</v>
      </c>
      <c r="G37" s="98" t="s">
        <v>877</v>
      </c>
      <c r="H37" s="98" t="s">
        <v>152</v>
      </c>
      <c r="I37" s="98" t="s">
        <v>840</v>
      </c>
      <c r="J37" s="55" t="s">
        <v>152</v>
      </c>
    </row>
    <row r="38" spans="2:10" ht="50.1" customHeight="1" thickBot="1">
      <c r="B38" s="417"/>
      <c r="C38" s="392"/>
      <c r="D38" s="405"/>
      <c r="E38" s="392"/>
      <c r="F38" s="78" t="s">
        <v>960</v>
      </c>
      <c r="G38" s="418" t="s">
        <v>942</v>
      </c>
      <c r="H38" s="418"/>
      <c r="I38" s="418"/>
      <c r="J38" s="419"/>
    </row>
    <row r="39" spans="2:10" ht="50.1" customHeight="1">
      <c r="B39" s="415" t="s">
        <v>394</v>
      </c>
      <c r="C39" s="390" t="s">
        <v>1045</v>
      </c>
      <c r="D39" s="403" t="s">
        <v>1046</v>
      </c>
      <c r="E39" s="390" t="s">
        <v>1047</v>
      </c>
      <c r="F39" s="80" t="s">
        <v>838</v>
      </c>
      <c r="G39" s="81" t="s">
        <v>877</v>
      </c>
      <c r="H39" s="81" t="s">
        <v>152</v>
      </c>
      <c r="I39" s="81" t="s">
        <v>840</v>
      </c>
      <c r="J39" s="83" t="s">
        <v>152</v>
      </c>
    </row>
    <row r="40" spans="2:10" ht="50.1" customHeight="1">
      <c r="B40" s="416"/>
      <c r="C40" s="391"/>
      <c r="D40" s="404"/>
      <c r="E40" s="391"/>
      <c r="F40" s="98" t="s">
        <v>926</v>
      </c>
      <c r="G40" s="98" t="s">
        <v>840</v>
      </c>
      <c r="H40" s="98" t="s">
        <v>152</v>
      </c>
      <c r="I40" s="98" t="s">
        <v>877</v>
      </c>
      <c r="J40" s="55" t="s">
        <v>152</v>
      </c>
    </row>
    <row r="41" spans="2:10" ht="50.1" customHeight="1" thickBot="1">
      <c r="B41" s="417"/>
      <c r="C41" s="392"/>
      <c r="D41" s="405"/>
      <c r="E41" s="392"/>
      <c r="F41" s="78" t="s">
        <v>960</v>
      </c>
      <c r="G41" s="418" t="s">
        <v>942</v>
      </c>
      <c r="H41" s="418"/>
      <c r="I41" s="418"/>
      <c r="J41" s="419"/>
    </row>
    <row r="42" spans="2:10" ht="50.1" customHeight="1">
      <c r="B42" s="415" t="s">
        <v>135</v>
      </c>
      <c r="C42" s="390" t="s">
        <v>1048</v>
      </c>
      <c r="D42" s="403" t="s">
        <v>1049</v>
      </c>
      <c r="E42" s="390" t="s">
        <v>1050</v>
      </c>
      <c r="F42" s="80" t="s">
        <v>838</v>
      </c>
      <c r="G42" s="81" t="s">
        <v>1051</v>
      </c>
      <c r="H42" s="81" t="s">
        <v>152</v>
      </c>
      <c r="I42" s="81" t="s">
        <v>840</v>
      </c>
      <c r="J42" s="83" t="s">
        <v>152</v>
      </c>
    </row>
    <row r="43" spans="2:10" ht="50.1" customHeight="1">
      <c r="B43" s="416"/>
      <c r="C43" s="391"/>
      <c r="D43" s="404"/>
      <c r="E43" s="391"/>
      <c r="F43" s="98" t="s">
        <v>926</v>
      </c>
      <c r="G43" s="98" t="s">
        <v>840</v>
      </c>
      <c r="H43" s="98" t="s">
        <v>152</v>
      </c>
      <c r="I43" s="98" t="s">
        <v>1051</v>
      </c>
      <c r="J43" s="55" t="s">
        <v>152</v>
      </c>
    </row>
    <row r="44" spans="2:10" ht="50.1" customHeight="1" thickBot="1">
      <c r="B44" s="417"/>
      <c r="C44" s="392"/>
      <c r="D44" s="405"/>
      <c r="E44" s="392"/>
      <c r="F44" s="78" t="s">
        <v>960</v>
      </c>
      <c r="G44" s="418" t="s">
        <v>942</v>
      </c>
      <c r="H44" s="418"/>
      <c r="I44" s="418"/>
      <c r="J44" s="419"/>
    </row>
    <row r="45" spans="2:10" ht="50.1" customHeight="1">
      <c r="B45" s="415" t="s">
        <v>258</v>
      </c>
      <c r="C45" s="390" t="s">
        <v>1052</v>
      </c>
      <c r="D45" s="403" t="s">
        <v>820</v>
      </c>
      <c r="E45" s="390" t="s">
        <v>1053</v>
      </c>
      <c r="F45" s="80" t="s">
        <v>838</v>
      </c>
      <c r="G45" s="81" t="s">
        <v>662</v>
      </c>
      <c r="H45" s="81" t="s">
        <v>152</v>
      </c>
      <c r="I45" s="81" t="s">
        <v>818</v>
      </c>
      <c r="J45" s="83" t="s">
        <v>152</v>
      </c>
    </row>
    <row r="46" spans="2:10" ht="50.1" customHeight="1">
      <c r="B46" s="416"/>
      <c r="C46" s="391"/>
      <c r="D46" s="404"/>
      <c r="E46" s="391"/>
      <c r="F46" s="98" t="s">
        <v>926</v>
      </c>
      <c r="G46" s="98" t="s">
        <v>818</v>
      </c>
      <c r="H46" s="98" t="s">
        <v>152</v>
      </c>
      <c r="I46" s="98" t="s">
        <v>662</v>
      </c>
      <c r="J46" s="55" t="s">
        <v>152</v>
      </c>
    </row>
    <row r="47" spans="2:10" ht="50.1" customHeight="1" thickBot="1">
      <c r="B47" s="417"/>
      <c r="C47" s="392"/>
      <c r="D47" s="405"/>
      <c r="E47" s="392"/>
      <c r="F47" s="78" t="s">
        <v>960</v>
      </c>
      <c r="G47" s="418" t="s">
        <v>942</v>
      </c>
      <c r="H47" s="418"/>
      <c r="I47" s="418"/>
      <c r="J47" s="419"/>
    </row>
    <row r="48" spans="2:10" ht="50.1" customHeight="1">
      <c r="B48" s="415" t="s">
        <v>1054</v>
      </c>
      <c r="C48" s="390" t="s">
        <v>1055</v>
      </c>
      <c r="D48" s="403" t="s">
        <v>1056</v>
      </c>
      <c r="E48" s="390" t="s">
        <v>1057</v>
      </c>
      <c r="F48" s="80" t="s">
        <v>838</v>
      </c>
      <c r="G48" s="81" t="s">
        <v>662</v>
      </c>
      <c r="H48" s="81" t="s">
        <v>152</v>
      </c>
      <c r="I48" s="81" t="s">
        <v>877</v>
      </c>
      <c r="J48" s="83" t="s">
        <v>152</v>
      </c>
    </row>
    <row r="49" spans="2:10" ht="50.1" customHeight="1">
      <c r="B49" s="416"/>
      <c r="C49" s="391"/>
      <c r="D49" s="404"/>
      <c r="E49" s="391"/>
      <c r="F49" s="98" t="s">
        <v>926</v>
      </c>
      <c r="G49" s="98" t="s">
        <v>877</v>
      </c>
      <c r="H49" s="98" t="s">
        <v>152</v>
      </c>
      <c r="I49" s="98" t="s">
        <v>840</v>
      </c>
      <c r="J49" s="55" t="s">
        <v>152</v>
      </c>
    </row>
    <row r="50" spans="2:10" ht="50.1" customHeight="1" thickBot="1">
      <c r="B50" s="417"/>
      <c r="C50" s="392"/>
      <c r="D50" s="405"/>
      <c r="E50" s="392"/>
      <c r="F50" s="78" t="s">
        <v>960</v>
      </c>
      <c r="G50" s="418" t="s">
        <v>942</v>
      </c>
      <c r="H50" s="418"/>
      <c r="I50" s="418"/>
      <c r="J50" s="419"/>
    </row>
    <row r="51" spans="2:10" ht="50.1" customHeight="1">
      <c r="B51" s="415" t="s">
        <v>776</v>
      </c>
      <c r="C51" s="390" t="s">
        <v>1058</v>
      </c>
      <c r="D51" s="403" t="s">
        <v>463</v>
      </c>
      <c r="E51" s="390" t="s">
        <v>1059</v>
      </c>
      <c r="F51" s="80" t="s">
        <v>838</v>
      </c>
      <c r="G51" s="81" t="s">
        <v>654</v>
      </c>
      <c r="H51" s="81" t="s">
        <v>163</v>
      </c>
      <c r="I51" s="81" t="s">
        <v>917</v>
      </c>
      <c r="J51" s="83" t="s">
        <v>163</v>
      </c>
    </row>
    <row r="52" spans="2:10" ht="50.1" customHeight="1">
      <c r="B52" s="416"/>
      <c r="C52" s="391"/>
      <c r="D52" s="404"/>
      <c r="E52" s="391"/>
      <c r="F52" s="98" t="s">
        <v>926</v>
      </c>
      <c r="G52" s="98" t="s">
        <v>1060</v>
      </c>
      <c r="H52" s="98" t="s">
        <v>152</v>
      </c>
      <c r="I52" s="98" t="s">
        <v>732</v>
      </c>
      <c r="J52" s="55" t="s">
        <v>152</v>
      </c>
    </row>
    <row r="53" spans="2:10" ht="50.1" customHeight="1">
      <c r="B53" s="443"/>
      <c r="C53" s="391"/>
      <c r="D53" s="444"/>
      <c r="E53" s="391"/>
      <c r="F53" s="161" t="s">
        <v>960</v>
      </c>
      <c r="G53" s="445" t="s">
        <v>942</v>
      </c>
      <c r="H53" s="445"/>
      <c r="I53" s="445"/>
      <c r="J53" s="446"/>
    </row>
    <row r="54" spans="2:10" ht="75" customHeight="1">
      <c r="B54" s="162" t="s">
        <v>101</v>
      </c>
      <c r="C54" s="163" t="s">
        <v>1061</v>
      </c>
      <c r="D54" s="164" t="s">
        <v>1062</v>
      </c>
      <c r="E54" s="435" t="s">
        <v>1063</v>
      </c>
      <c r="F54" s="450" t="s">
        <v>960</v>
      </c>
      <c r="G54" s="453" t="s">
        <v>942</v>
      </c>
      <c r="H54" s="454"/>
      <c r="I54" s="454"/>
      <c r="J54" s="455"/>
    </row>
    <row r="55" spans="2:10" ht="75" customHeight="1">
      <c r="B55" s="165" t="s">
        <v>109</v>
      </c>
      <c r="C55" s="166" t="s">
        <v>1064</v>
      </c>
      <c r="D55" s="154" t="s">
        <v>1065</v>
      </c>
      <c r="E55" s="436"/>
      <c r="F55" s="451"/>
      <c r="G55" s="456"/>
      <c r="H55" s="457"/>
      <c r="I55" s="457"/>
      <c r="J55" s="458"/>
    </row>
    <row r="56" spans="2:10" ht="75" customHeight="1">
      <c r="B56" s="165" t="s">
        <v>1066</v>
      </c>
      <c r="C56" s="166" t="s">
        <v>1067</v>
      </c>
      <c r="D56" s="154" t="s">
        <v>1068</v>
      </c>
      <c r="E56" s="436"/>
      <c r="F56" s="451"/>
      <c r="G56" s="456"/>
      <c r="H56" s="457"/>
      <c r="I56" s="457"/>
      <c r="J56" s="458"/>
    </row>
    <row r="57" spans="2:10" ht="75" customHeight="1">
      <c r="B57" s="165" t="s">
        <v>1069</v>
      </c>
      <c r="C57" s="166" t="s">
        <v>1070</v>
      </c>
      <c r="D57" s="154" t="s">
        <v>1071</v>
      </c>
      <c r="E57" s="436"/>
      <c r="F57" s="451"/>
      <c r="G57" s="456"/>
      <c r="H57" s="457"/>
      <c r="I57" s="457"/>
      <c r="J57" s="458"/>
    </row>
    <row r="58" spans="2:10" ht="75" customHeight="1">
      <c r="B58" s="165" t="s">
        <v>971</v>
      </c>
      <c r="C58" s="166" t="s">
        <v>1072</v>
      </c>
      <c r="D58" s="154" t="s">
        <v>973</v>
      </c>
      <c r="E58" s="436"/>
      <c r="F58" s="451"/>
      <c r="G58" s="456"/>
      <c r="H58" s="457"/>
      <c r="I58" s="457"/>
      <c r="J58" s="458"/>
    </row>
    <row r="59" spans="2:10" ht="75" customHeight="1">
      <c r="B59" s="165" t="s">
        <v>1073</v>
      </c>
      <c r="C59" s="166" t="s">
        <v>1074</v>
      </c>
      <c r="D59" s="154" t="s">
        <v>1075</v>
      </c>
      <c r="E59" s="436"/>
      <c r="F59" s="451"/>
      <c r="G59" s="456"/>
      <c r="H59" s="457"/>
      <c r="I59" s="457"/>
      <c r="J59" s="458"/>
    </row>
    <row r="60" spans="2:10" ht="75" customHeight="1">
      <c r="B60" s="165" t="s">
        <v>305</v>
      </c>
      <c r="C60" s="166" t="s">
        <v>1076</v>
      </c>
      <c r="D60" s="154" t="s">
        <v>1077</v>
      </c>
      <c r="E60" s="436"/>
      <c r="F60" s="451"/>
      <c r="G60" s="456"/>
      <c r="H60" s="457"/>
      <c r="I60" s="457"/>
      <c r="J60" s="458"/>
    </row>
    <row r="61" spans="2:10" ht="75" customHeight="1">
      <c r="B61" s="165" t="s">
        <v>350</v>
      </c>
      <c r="C61" s="166" t="s">
        <v>1078</v>
      </c>
      <c r="D61" s="154" t="s">
        <v>1079</v>
      </c>
      <c r="E61" s="436"/>
      <c r="F61" s="451"/>
      <c r="G61" s="456"/>
      <c r="H61" s="457"/>
      <c r="I61" s="457"/>
      <c r="J61" s="458"/>
    </row>
    <row r="62" spans="2:10" ht="75" customHeight="1">
      <c r="B62" s="165" t="s">
        <v>166</v>
      </c>
      <c r="C62" s="166" t="s">
        <v>1080</v>
      </c>
      <c r="D62" s="154" t="s">
        <v>1081</v>
      </c>
      <c r="E62" s="436"/>
      <c r="F62" s="451"/>
      <c r="G62" s="456"/>
      <c r="H62" s="457"/>
      <c r="I62" s="457"/>
      <c r="J62" s="458"/>
    </row>
    <row r="63" spans="2:10" ht="75" customHeight="1">
      <c r="B63" s="165" t="s">
        <v>179</v>
      </c>
      <c r="C63" s="166" t="s">
        <v>1082</v>
      </c>
      <c r="D63" s="154" t="s">
        <v>1083</v>
      </c>
      <c r="E63" s="436"/>
      <c r="F63" s="451"/>
      <c r="G63" s="456"/>
      <c r="H63" s="457"/>
      <c r="I63" s="457"/>
      <c r="J63" s="458"/>
    </row>
    <row r="64" spans="2:10" ht="75" customHeight="1">
      <c r="B64" s="165" t="s">
        <v>967</v>
      </c>
      <c r="C64" s="166" t="s">
        <v>1084</v>
      </c>
      <c r="D64" s="154" t="s">
        <v>1085</v>
      </c>
      <c r="E64" s="449"/>
      <c r="F64" s="452"/>
      <c r="G64" s="459"/>
      <c r="H64" s="460"/>
      <c r="I64" s="460"/>
      <c r="J64" s="461"/>
    </row>
    <row r="65" spans="2:10" ht="75" customHeight="1">
      <c r="B65" s="478" t="s">
        <v>166</v>
      </c>
      <c r="C65" s="480" t="s">
        <v>1080</v>
      </c>
      <c r="D65" s="482" t="s">
        <v>1081</v>
      </c>
      <c r="E65" s="462" t="s">
        <v>1086</v>
      </c>
      <c r="F65" s="168" t="s">
        <v>838</v>
      </c>
      <c r="G65" s="208" t="s">
        <v>824</v>
      </c>
      <c r="H65" s="208" t="s">
        <v>152</v>
      </c>
      <c r="I65" s="208" t="s">
        <v>840</v>
      </c>
      <c r="J65" s="208" t="s">
        <v>152</v>
      </c>
    </row>
    <row r="66" spans="2:10" ht="75" customHeight="1">
      <c r="B66" s="473"/>
      <c r="C66" s="433"/>
      <c r="D66" s="436"/>
      <c r="E66" s="463"/>
      <c r="F66" s="98" t="s">
        <v>926</v>
      </c>
      <c r="G66" s="189" t="s">
        <v>840</v>
      </c>
      <c r="H66" s="189" t="s">
        <v>152</v>
      </c>
      <c r="I66" s="189" t="s">
        <v>824</v>
      </c>
      <c r="J66" s="189" t="s">
        <v>152</v>
      </c>
    </row>
    <row r="67" spans="2:10" ht="75" customHeight="1">
      <c r="B67" s="479"/>
      <c r="C67" s="481"/>
      <c r="D67" s="449"/>
      <c r="E67" s="464"/>
      <c r="F67" s="207" t="s">
        <v>960</v>
      </c>
      <c r="G67" s="475" t="s">
        <v>942</v>
      </c>
      <c r="H67" s="476"/>
      <c r="I67" s="476"/>
      <c r="J67" s="477"/>
    </row>
    <row r="68" spans="2:10" ht="75" customHeight="1">
      <c r="B68" s="478" t="s">
        <v>366</v>
      </c>
      <c r="C68" s="480" t="s">
        <v>1087</v>
      </c>
      <c r="D68" s="482" t="s">
        <v>1088</v>
      </c>
      <c r="E68" s="462" t="s">
        <v>1089</v>
      </c>
      <c r="F68" s="168" t="s">
        <v>838</v>
      </c>
      <c r="G68" s="208" t="s">
        <v>1060</v>
      </c>
      <c r="H68" s="208" t="s">
        <v>152</v>
      </c>
      <c r="I68" s="208" t="s">
        <v>846</v>
      </c>
      <c r="J68" s="209" t="s">
        <v>152</v>
      </c>
    </row>
    <row r="69" spans="2:10" ht="75" customHeight="1">
      <c r="B69" s="473"/>
      <c r="C69" s="433"/>
      <c r="D69" s="436"/>
      <c r="E69" s="463"/>
      <c r="F69" s="98" t="s">
        <v>926</v>
      </c>
      <c r="G69" s="189" t="s">
        <v>846</v>
      </c>
      <c r="H69" s="189" t="s">
        <v>152</v>
      </c>
      <c r="I69" s="189" t="s">
        <v>1060</v>
      </c>
      <c r="J69" s="210" t="s">
        <v>152</v>
      </c>
    </row>
    <row r="70" spans="2:10" ht="75" customHeight="1">
      <c r="B70" s="474"/>
      <c r="C70" s="434"/>
      <c r="D70" s="437"/>
      <c r="E70" s="464"/>
      <c r="F70" s="207" t="s">
        <v>960</v>
      </c>
      <c r="G70" s="475" t="s">
        <v>942</v>
      </c>
      <c r="H70" s="476"/>
      <c r="I70" s="476"/>
      <c r="J70" s="477"/>
    </row>
    <row r="71" spans="2:10" ht="75" customHeight="1">
      <c r="B71" s="472" t="s">
        <v>299</v>
      </c>
      <c r="C71" s="432" t="s">
        <v>1090</v>
      </c>
      <c r="D71" s="435" t="s">
        <v>1091</v>
      </c>
      <c r="E71" s="469" t="s">
        <v>1092</v>
      </c>
      <c r="F71" s="168" t="s">
        <v>838</v>
      </c>
      <c r="G71" s="208" t="s">
        <v>662</v>
      </c>
      <c r="H71" s="208" t="s">
        <v>152</v>
      </c>
      <c r="I71" s="208" t="s">
        <v>824</v>
      </c>
      <c r="J71" s="209" t="s">
        <v>152</v>
      </c>
    </row>
    <row r="72" spans="2:10" ht="75" customHeight="1">
      <c r="B72" s="473"/>
      <c r="C72" s="433"/>
      <c r="D72" s="436"/>
      <c r="E72" s="470"/>
      <c r="F72" s="98" t="s">
        <v>926</v>
      </c>
      <c r="G72" s="189" t="s">
        <v>824</v>
      </c>
      <c r="H72" s="189" t="s">
        <v>152</v>
      </c>
      <c r="I72" s="189" t="s">
        <v>662</v>
      </c>
      <c r="J72" s="210" t="s">
        <v>152</v>
      </c>
    </row>
    <row r="73" spans="2:10" ht="75" customHeight="1">
      <c r="B73" s="474"/>
      <c r="C73" s="434"/>
      <c r="D73" s="437"/>
      <c r="E73" s="471"/>
      <c r="F73" s="207" t="s">
        <v>960</v>
      </c>
      <c r="G73" s="467" t="s">
        <v>942</v>
      </c>
      <c r="H73" s="467"/>
      <c r="I73" s="467"/>
      <c r="J73" s="468"/>
    </row>
    <row r="74" spans="2:10" ht="39.75" customHeight="1">
      <c r="B74" s="465" t="s">
        <v>427</v>
      </c>
      <c r="C74" s="391" t="s">
        <v>1093</v>
      </c>
      <c r="D74" s="466" t="s">
        <v>1094</v>
      </c>
      <c r="E74" s="391" t="s">
        <v>1095</v>
      </c>
      <c r="F74" s="108" t="s">
        <v>838</v>
      </c>
      <c r="G74" s="205" t="s">
        <v>756</v>
      </c>
      <c r="H74" s="205" t="s">
        <v>152</v>
      </c>
      <c r="I74" s="205" t="s">
        <v>774</v>
      </c>
      <c r="J74" s="206" t="s">
        <v>152</v>
      </c>
    </row>
    <row r="75" spans="2:10" ht="39.75" customHeight="1">
      <c r="B75" s="416"/>
      <c r="C75" s="391"/>
      <c r="D75" s="404"/>
      <c r="E75" s="391"/>
      <c r="F75" s="98" t="s">
        <v>926</v>
      </c>
      <c r="G75" s="98" t="s">
        <v>1060</v>
      </c>
      <c r="H75" s="98" t="s">
        <v>152</v>
      </c>
      <c r="I75" s="98" t="s">
        <v>977</v>
      </c>
      <c r="J75" s="55" t="s">
        <v>152</v>
      </c>
    </row>
    <row r="76" spans="2:10" ht="39.75" customHeight="1" thickBot="1">
      <c r="B76" s="417"/>
      <c r="C76" s="392"/>
      <c r="D76" s="405"/>
      <c r="E76" s="392"/>
      <c r="F76" s="78" t="s">
        <v>960</v>
      </c>
      <c r="G76" s="418" t="s">
        <v>942</v>
      </c>
      <c r="H76" s="418"/>
      <c r="I76" s="418"/>
      <c r="J76" s="419"/>
    </row>
    <row r="77" spans="2:10" ht="39.75" customHeight="1">
      <c r="B77" s="448" t="s">
        <v>461</v>
      </c>
      <c r="C77" s="447" t="s">
        <v>1096</v>
      </c>
      <c r="D77" s="438" t="s">
        <v>1097</v>
      </c>
      <c r="E77" s="447" t="s">
        <v>1098</v>
      </c>
      <c r="F77" s="168" t="s">
        <v>838</v>
      </c>
      <c r="G77" s="169" t="s">
        <v>917</v>
      </c>
      <c r="H77" s="169" t="s">
        <v>163</v>
      </c>
      <c r="I77" s="169" t="s">
        <v>773</v>
      </c>
      <c r="J77" s="170" t="s">
        <v>163</v>
      </c>
    </row>
    <row r="78" spans="2:10" ht="39.75" customHeight="1">
      <c r="B78" s="416"/>
      <c r="C78" s="391"/>
      <c r="D78" s="404"/>
      <c r="E78" s="391"/>
      <c r="F78" s="98" t="s">
        <v>926</v>
      </c>
      <c r="G78" s="98" t="s">
        <v>1060</v>
      </c>
      <c r="H78" s="98" t="s">
        <v>152</v>
      </c>
      <c r="I78" s="98" t="s">
        <v>846</v>
      </c>
      <c r="J78" s="55" t="s">
        <v>152</v>
      </c>
    </row>
    <row r="79" spans="2:10" ht="39.75" customHeight="1" thickBot="1">
      <c r="B79" s="417"/>
      <c r="C79" s="392"/>
      <c r="D79" s="405"/>
      <c r="E79" s="392"/>
      <c r="F79" s="78" t="s">
        <v>960</v>
      </c>
      <c r="G79" s="418" t="s">
        <v>942</v>
      </c>
      <c r="H79" s="418"/>
      <c r="I79" s="418"/>
      <c r="J79" s="419"/>
    </row>
    <row r="80" spans="2:10" ht="39.75" customHeight="1">
      <c r="B80" s="448" t="s">
        <v>523</v>
      </c>
      <c r="C80" s="447" t="s">
        <v>1099</v>
      </c>
      <c r="D80" s="438" t="s">
        <v>1100</v>
      </c>
      <c r="E80" s="447" t="s">
        <v>1101</v>
      </c>
      <c r="F80" s="168" t="s">
        <v>838</v>
      </c>
      <c r="G80" s="169" t="s">
        <v>756</v>
      </c>
      <c r="H80" s="169" t="s">
        <v>152</v>
      </c>
      <c r="I80" s="169" t="s">
        <v>774</v>
      </c>
      <c r="J80" s="170" t="s">
        <v>152</v>
      </c>
    </row>
    <row r="81" spans="2:10" ht="39.75" customHeight="1">
      <c r="B81" s="416"/>
      <c r="C81" s="391"/>
      <c r="D81" s="404"/>
      <c r="E81" s="391"/>
      <c r="F81" s="98" t="s">
        <v>926</v>
      </c>
      <c r="G81" s="98" t="s">
        <v>1102</v>
      </c>
      <c r="H81" s="98" t="s">
        <v>152</v>
      </c>
      <c r="I81" s="98" t="s">
        <v>1060</v>
      </c>
      <c r="J81" s="98" t="s">
        <v>152</v>
      </c>
    </row>
    <row r="82" spans="2:10" ht="39.75" customHeight="1" thickBot="1">
      <c r="B82" s="417"/>
      <c r="C82" s="392"/>
      <c r="D82" s="405"/>
      <c r="E82" s="392"/>
      <c r="F82" s="78" t="s">
        <v>960</v>
      </c>
      <c r="G82" s="418" t="s">
        <v>942</v>
      </c>
      <c r="H82" s="418"/>
      <c r="I82" s="418"/>
      <c r="J82" s="419"/>
    </row>
    <row r="83" spans="2:10" ht="39.75" customHeight="1">
      <c r="B83" s="426" t="s">
        <v>109</v>
      </c>
      <c r="C83" s="427" t="s">
        <v>1103</v>
      </c>
      <c r="D83" s="427" t="s">
        <v>1104</v>
      </c>
      <c r="E83" s="427" t="s">
        <v>1105</v>
      </c>
      <c r="F83" s="187" t="s">
        <v>838</v>
      </c>
      <c r="G83" s="188" t="s">
        <v>747</v>
      </c>
      <c r="H83" s="188" t="s">
        <v>152</v>
      </c>
      <c r="I83" s="188" t="s">
        <v>817</v>
      </c>
      <c r="J83" s="188" t="s">
        <v>152</v>
      </c>
    </row>
    <row r="84" spans="2:10" ht="39.75" customHeight="1">
      <c r="B84" s="426"/>
      <c r="C84" s="427"/>
      <c r="D84" s="427"/>
      <c r="E84" s="427"/>
      <c r="F84" s="189" t="s">
        <v>926</v>
      </c>
      <c r="G84" s="189" t="s">
        <v>817</v>
      </c>
      <c r="H84" s="189" t="s">
        <v>152</v>
      </c>
      <c r="I84" s="189" t="s">
        <v>747</v>
      </c>
      <c r="J84" s="189" t="s">
        <v>152</v>
      </c>
    </row>
    <row r="85" spans="2:10" ht="39.75" customHeight="1">
      <c r="B85" s="426"/>
      <c r="C85" s="427"/>
      <c r="D85" s="427"/>
      <c r="E85" s="427"/>
      <c r="F85" s="186" t="s">
        <v>960</v>
      </c>
      <c r="G85" s="428" t="s">
        <v>942</v>
      </c>
      <c r="H85" s="428"/>
      <c r="I85" s="428"/>
      <c r="J85" s="428"/>
    </row>
    <row r="86" spans="2:10" ht="39.75" customHeight="1">
      <c r="B86" s="426" t="s">
        <v>529</v>
      </c>
      <c r="C86" s="427" t="s">
        <v>1106</v>
      </c>
      <c r="D86" s="427" t="s">
        <v>531</v>
      </c>
      <c r="E86" s="427" t="s">
        <v>1107</v>
      </c>
      <c r="F86" s="187" t="s">
        <v>838</v>
      </c>
      <c r="G86" s="188" t="s">
        <v>756</v>
      </c>
      <c r="H86" s="188" t="s">
        <v>152</v>
      </c>
      <c r="I86" s="188" t="s">
        <v>662</v>
      </c>
      <c r="J86" s="188" t="s">
        <v>152</v>
      </c>
    </row>
    <row r="87" spans="2:10" ht="39.75" customHeight="1">
      <c r="B87" s="426"/>
      <c r="C87" s="427"/>
      <c r="D87" s="427"/>
      <c r="E87" s="427"/>
      <c r="F87" s="189" t="s">
        <v>926</v>
      </c>
      <c r="G87" s="189" t="s">
        <v>774</v>
      </c>
      <c r="H87" s="189" t="s">
        <v>152</v>
      </c>
      <c r="I87" s="189" t="s">
        <v>732</v>
      </c>
      <c r="J87" s="189" t="s">
        <v>152</v>
      </c>
    </row>
    <row r="88" spans="2:10" ht="39.75" customHeight="1">
      <c r="B88" s="429"/>
      <c r="C88" s="430"/>
      <c r="D88" s="430"/>
      <c r="E88" s="430"/>
      <c r="F88" s="204" t="s">
        <v>960</v>
      </c>
      <c r="G88" s="431" t="s">
        <v>942</v>
      </c>
      <c r="H88" s="431"/>
      <c r="I88" s="431"/>
      <c r="J88" s="431"/>
    </row>
    <row r="89" spans="2:10" ht="39.75" customHeight="1">
      <c r="B89" s="426" t="s">
        <v>400</v>
      </c>
      <c r="C89" s="427" t="s">
        <v>1108</v>
      </c>
      <c r="D89" s="427" t="s">
        <v>1109</v>
      </c>
      <c r="E89" s="427" t="s">
        <v>1110</v>
      </c>
      <c r="F89" s="187" t="s">
        <v>838</v>
      </c>
      <c r="G89" s="188" t="s">
        <v>1111</v>
      </c>
      <c r="H89" s="188" t="s">
        <v>152</v>
      </c>
      <c r="I89" s="188" t="s">
        <v>1112</v>
      </c>
      <c r="J89" s="188" t="s">
        <v>152</v>
      </c>
    </row>
    <row r="90" spans="2:10" ht="39.75" customHeight="1">
      <c r="B90" s="426"/>
      <c r="C90" s="427"/>
      <c r="D90" s="427"/>
      <c r="E90" s="427"/>
      <c r="F90" s="189" t="s">
        <v>926</v>
      </c>
      <c r="G90" s="189" t="s">
        <v>1112</v>
      </c>
      <c r="H90" s="189" t="s">
        <v>152</v>
      </c>
      <c r="I90" s="189" t="s">
        <v>1111</v>
      </c>
      <c r="J90" s="211" t="s">
        <v>152</v>
      </c>
    </row>
    <row r="91" spans="2:10" ht="39.75" customHeight="1">
      <c r="B91" s="426"/>
      <c r="C91" s="427"/>
      <c r="D91" s="427"/>
      <c r="E91" s="427"/>
      <c r="F91" s="186" t="s">
        <v>960</v>
      </c>
      <c r="G91" s="428" t="s">
        <v>942</v>
      </c>
      <c r="H91" s="428"/>
      <c r="I91" s="428"/>
      <c r="J91" s="428"/>
    </row>
    <row r="92" spans="2:10" ht="39.75" customHeight="1">
      <c r="B92" s="426" t="s">
        <v>512</v>
      </c>
      <c r="C92" s="427" t="s">
        <v>1113</v>
      </c>
      <c r="D92" s="427" t="s">
        <v>513</v>
      </c>
      <c r="E92" s="427" t="s">
        <v>1114</v>
      </c>
      <c r="F92" s="187" t="s">
        <v>838</v>
      </c>
      <c r="G92" s="188" t="s">
        <v>774</v>
      </c>
      <c r="H92" s="188" t="s">
        <v>152</v>
      </c>
      <c r="I92" s="188" t="s">
        <v>756</v>
      </c>
      <c r="J92" s="188" t="s">
        <v>152</v>
      </c>
    </row>
    <row r="93" spans="2:10" ht="39.75" customHeight="1">
      <c r="B93" s="426"/>
      <c r="C93" s="427"/>
      <c r="D93" s="427"/>
      <c r="E93" s="427"/>
      <c r="F93" s="189" t="s">
        <v>926</v>
      </c>
      <c r="G93" s="189" t="s">
        <v>1102</v>
      </c>
      <c r="H93" s="189" t="s">
        <v>152</v>
      </c>
      <c r="I93" s="189" t="s">
        <v>774</v>
      </c>
      <c r="J93" s="211" t="s">
        <v>152</v>
      </c>
    </row>
    <row r="94" spans="2:10" ht="39.75" customHeight="1">
      <c r="B94" s="426"/>
      <c r="C94" s="427"/>
      <c r="D94" s="427"/>
      <c r="E94" s="427"/>
      <c r="F94" s="186" t="s">
        <v>960</v>
      </c>
      <c r="G94" s="428" t="s">
        <v>942</v>
      </c>
      <c r="H94" s="428"/>
      <c r="I94" s="428"/>
      <c r="J94" s="428"/>
    </row>
    <row r="95" spans="2:10" ht="39.75" customHeight="1">
      <c r="B95" s="426" t="s">
        <v>534</v>
      </c>
      <c r="C95" s="427" t="s">
        <v>1115</v>
      </c>
      <c r="D95" s="427" t="s">
        <v>536</v>
      </c>
      <c r="E95" s="427" t="s">
        <v>1116</v>
      </c>
      <c r="F95" s="187" t="s">
        <v>838</v>
      </c>
      <c r="G95" s="188" t="s">
        <v>747</v>
      </c>
      <c r="H95" s="188" t="s">
        <v>152</v>
      </c>
      <c r="I95" s="188" t="s">
        <v>817</v>
      </c>
      <c r="J95" s="188" t="s">
        <v>152</v>
      </c>
    </row>
    <row r="96" spans="2:10" ht="39.75" customHeight="1">
      <c r="B96" s="426"/>
      <c r="C96" s="427"/>
      <c r="D96" s="427"/>
      <c r="E96" s="427"/>
      <c r="F96" s="189" t="s">
        <v>926</v>
      </c>
      <c r="G96" s="189" t="s">
        <v>817</v>
      </c>
      <c r="H96" s="189" t="s">
        <v>152</v>
      </c>
      <c r="I96" s="189" t="s">
        <v>747</v>
      </c>
      <c r="J96" s="211" t="s">
        <v>152</v>
      </c>
    </row>
    <row r="97" spans="2:10" ht="39.75" customHeight="1">
      <c r="B97" s="426"/>
      <c r="C97" s="427"/>
      <c r="D97" s="427"/>
      <c r="E97" s="427"/>
      <c r="F97" s="186" t="s">
        <v>960</v>
      </c>
      <c r="G97" s="428" t="s">
        <v>942</v>
      </c>
      <c r="H97" s="428"/>
      <c r="I97" s="428"/>
      <c r="J97" s="428"/>
    </row>
    <row r="98" spans="2:10" ht="39.75" customHeight="1">
      <c r="B98" s="426" t="s">
        <v>496</v>
      </c>
      <c r="C98" s="427" t="s">
        <v>1117</v>
      </c>
      <c r="D98" s="427" t="s">
        <v>1118</v>
      </c>
      <c r="E98" s="427" t="s">
        <v>1119</v>
      </c>
      <c r="F98" s="187" t="s">
        <v>838</v>
      </c>
      <c r="G98" s="188" t="s">
        <v>747</v>
      </c>
      <c r="H98" s="188" t="s">
        <v>152</v>
      </c>
      <c r="I98" s="188" t="s">
        <v>1120</v>
      </c>
      <c r="J98" s="188" t="s">
        <v>152</v>
      </c>
    </row>
    <row r="99" spans="2:10" ht="39.75" customHeight="1">
      <c r="B99" s="426"/>
      <c r="C99" s="427"/>
      <c r="D99" s="427"/>
      <c r="E99" s="427"/>
      <c r="F99" s="189" t="s">
        <v>926</v>
      </c>
      <c r="G99" s="189" t="s">
        <v>817</v>
      </c>
      <c r="H99" s="189" t="s">
        <v>152</v>
      </c>
      <c r="I99" s="189" t="s">
        <v>824</v>
      </c>
      <c r="J99" s="211" t="s">
        <v>152</v>
      </c>
    </row>
    <row r="100" spans="2:10" ht="39.75" customHeight="1">
      <c r="B100" s="426"/>
      <c r="C100" s="427"/>
      <c r="D100" s="427"/>
      <c r="E100" s="427"/>
      <c r="F100" s="186" t="s">
        <v>960</v>
      </c>
      <c r="G100" s="428" t="s">
        <v>942</v>
      </c>
      <c r="H100" s="428"/>
      <c r="I100" s="428"/>
      <c r="J100" s="428"/>
    </row>
    <row r="101" spans="2:10" ht="30">
      <c r="B101" s="426" t="s">
        <v>443</v>
      </c>
      <c r="C101" s="427" t="s">
        <v>1121</v>
      </c>
      <c r="D101" s="427" t="s">
        <v>536</v>
      </c>
      <c r="E101" s="427" t="s">
        <v>1122</v>
      </c>
      <c r="F101" s="187" t="s">
        <v>838</v>
      </c>
      <c r="G101" s="188" t="s">
        <v>662</v>
      </c>
      <c r="H101" s="188" t="s">
        <v>152</v>
      </c>
      <c r="I101" s="188" t="s">
        <v>877</v>
      </c>
      <c r="J101" s="188" t="s">
        <v>152</v>
      </c>
    </row>
    <row r="102" spans="2:10" ht="39" customHeight="1">
      <c r="B102" s="426"/>
      <c r="C102" s="427"/>
      <c r="D102" s="427"/>
      <c r="E102" s="427"/>
      <c r="F102" s="189" t="s">
        <v>926</v>
      </c>
      <c r="G102" s="189" t="s">
        <v>877</v>
      </c>
      <c r="H102" s="189" t="s">
        <v>152</v>
      </c>
      <c r="I102" s="189" t="s">
        <v>840</v>
      </c>
      <c r="J102" s="211" t="s">
        <v>152</v>
      </c>
    </row>
    <row r="103" spans="2:10" ht="27" customHeight="1">
      <c r="B103" s="426"/>
      <c r="C103" s="427"/>
      <c r="D103" s="427"/>
      <c r="E103" s="427"/>
      <c r="F103" s="186" t="s">
        <v>960</v>
      </c>
      <c r="G103" s="428" t="s">
        <v>942</v>
      </c>
      <c r="H103" s="428"/>
      <c r="I103" s="428"/>
      <c r="J103" s="428"/>
    </row>
    <row r="104" spans="2:10" ht="95.25" customHeight="1">
      <c r="B104" s="426" t="s">
        <v>468</v>
      </c>
      <c r="C104" s="427" t="s">
        <v>1123</v>
      </c>
      <c r="D104" s="427" t="s">
        <v>1124</v>
      </c>
      <c r="E104" s="427" t="s">
        <v>1125</v>
      </c>
      <c r="F104" s="187" t="s">
        <v>838</v>
      </c>
      <c r="G104" s="188" t="s">
        <v>1126</v>
      </c>
      <c r="H104" s="188" t="s">
        <v>592</v>
      </c>
      <c r="I104" s="188" t="s">
        <v>1127</v>
      </c>
      <c r="J104" s="188" t="s">
        <v>592</v>
      </c>
    </row>
    <row r="105" spans="2:10" ht="95.25" customHeight="1">
      <c r="B105" s="426"/>
      <c r="C105" s="427"/>
      <c r="D105" s="427"/>
      <c r="E105" s="427"/>
      <c r="F105" s="189" t="s">
        <v>926</v>
      </c>
      <c r="G105" s="189" t="s">
        <v>1128</v>
      </c>
      <c r="H105" s="189" t="s">
        <v>152</v>
      </c>
      <c r="I105" s="189" t="s">
        <v>1129</v>
      </c>
      <c r="J105" s="211" t="s">
        <v>152</v>
      </c>
    </row>
    <row r="106" spans="2:10" ht="95.25" customHeight="1">
      <c r="B106" s="426"/>
      <c r="C106" s="427"/>
      <c r="D106" s="427"/>
      <c r="E106" s="427"/>
      <c r="F106" s="186" t="s">
        <v>960</v>
      </c>
      <c r="G106" s="428" t="s">
        <v>942</v>
      </c>
      <c r="H106" s="428"/>
      <c r="I106" s="428"/>
      <c r="J106" s="428"/>
    </row>
    <row r="107" spans="2:10" ht="95.25" customHeight="1">
      <c r="B107" s="426" t="s">
        <v>448</v>
      </c>
      <c r="C107" s="427" t="s">
        <v>1130</v>
      </c>
      <c r="D107" s="427" t="s">
        <v>1131</v>
      </c>
      <c r="E107" s="427" t="s">
        <v>1132</v>
      </c>
      <c r="F107" s="187" t="s">
        <v>838</v>
      </c>
      <c r="G107" s="188" t="s">
        <v>756</v>
      </c>
      <c r="H107" s="188" t="s">
        <v>152</v>
      </c>
      <c r="I107" s="188" t="s">
        <v>774</v>
      </c>
      <c r="J107" s="188" t="s">
        <v>152</v>
      </c>
    </row>
    <row r="108" spans="2:10" ht="95.25" customHeight="1">
      <c r="B108" s="426"/>
      <c r="C108" s="427"/>
      <c r="D108" s="427"/>
      <c r="E108" s="427"/>
      <c r="F108" s="189" t="s">
        <v>926</v>
      </c>
      <c r="G108" s="189" t="s">
        <v>774</v>
      </c>
      <c r="H108" s="189" t="s">
        <v>152</v>
      </c>
      <c r="I108" s="189" t="s">
        <v>756</v>
      </c>
      <c r="J108" s="211" t="s">
        <v>152</v>
      </c>
    </row>
    <row r="109" spans="2:10" ht="95.25" customHeight="1">
      <c r="B109" s="426"/>
      <c r="C109" s="427"/>
      <c r="D109" s="427"/>
      <c r="E109" s="427"/>
      <c r="F109" s="186" t="s">
        <v>960</v>
      </c>
      <c r="G109" s="428" t="s">
        <v>942</v>
      </c>
      <c r="H109" s="428"/>
      <c r="I109" s="428"/>
      <c r="J109" s="428"/>
    </row>
    <row r="110" spans="2:10" ht="95.25" customHeight="1">
      <c r="B110" s="426" t="s">
        <v>448</v>
      </c>
      <c r="C110" s="427" t="s">
        <v>1133</v>
      </c>
      <c r="D110" s="427" t="s">
        <v>1131</v>
      </c>
      <c r="E110" s="427" t="s">
        <v>1134</v>
      </c>
      <c r="F110" s="187" t="s">
        <v>838</v>
      </c>
      <c r="G110" s="188" t="s">
        <v>756</v>
      </c>
      <c r="H110" s="188" t="s">
        <v>152</v>
      </c>
      <c r="I110" s="188" t="s">
        <v>774</v>
      </c>
      <c r="J110" s="188" t="s">
        <v>152</v>
      </c>
    </row>
    <row r="111" spans="2:10" ht="95.25" customHeight="1">
      <c r="B111" s="426"/>
      <c r="C111" s="427"/>
      <c r="D111" s="427"/>
      <c r="E111" s="427"/>
      <c r="F111" s="189" t="s">
        <v>926</v>
      </c>
      <c r="G111" s="189" t="s">
        <v>774</v>
      </c>
      <c r="H111" s="189" t="s">
        <v>152</v>
      </c>
      <c r="I111" s="189" t="s">
        <v>756</v>
      </c>
      <c r="J111" s="211" t="s">
        <v>152</v>
      </c>
    </row>
    <row r="112" spans="2:10" ht="95.25" customHeight="1">
      <c r="B112" s="426"/>
      <c r="C112" s="427"/>
      <c r="D112" s="427"/>
      <c r="E112" s="427"/>
      <c r="F112" s="186" t="s">
        <v>960</v>
      </c>
      <c r="G112" s="428" t="s">
        <v>942</v>
      </c>
      <c r="H112" s="428"/>
      <c r="I112" s="428"/>
      <c r="J112" s="428"/>
    </row>
    <row r="113" spans="2:10" ht="95.25" customHeight="1">
      <c r="B113" s="426" t="s">
        <v>448</v>
      </c>
      <c r="C113" s="427" t="s">
        <v>1135</v>
      </c>
      <c r="D113" s="427" t="s">
        <v>1136</v>
      </c>
      <c r="E113" s="427" t="s">
        <v>1137</v>
      </c>
      <c r="F113" s="187" t="s">
        <v>838</v>
      </c>
      <c r="G113" s="188" t="s">
        <v>756</v>
      </c>
      <c r="H113" s="188" t="s">
        <v>152</v>
      </c>
      <c r="I113" s="188" t="s">
        <v>774</v>
      </c>
      <c r="J113" s="188" t="s">
        <v>152</v>
      </c>
    </row>
    <row r="114" spans="2:10" ht="95.25" customHeight="1">
      <c r="B114" s="426"/>
      <c r="C114" s="427"/>
      <c r="D114" s="427"/>
      <c r="E114" s="427"/>
      <c r="F114" s="189" t="s">
        <v>926</v>
      </c>
      <c r="G114" s="189" t="s">
        <v>774</v>
      </c>
      <c r="H114" s="189" t="s">
        <v>152</v>
      </c>
      <c r="I114" s="189" t="s">
        <v>756</v>
      </c>
      <c r="J114" s="211" t="s">
        <v>152</v>
      </c>
    </row>
    <row r="115" spans="2:10" ht="95.25" customHeight="1">
      <c r="B115" s="429"/>
      <c r="C115" s="430"/>
      <c r="D115" s="430"/>
      <c r="E115" s="430"/>
      <c r="F115" s="204" t="s">
        <v>960</v>
      </c>
      <c r="G115" s="431" t="s">
        <v>942</v>
      </c>
      <c r="H115" s="431"/>
      <c r="I115" s="431"/>
      <c r="J115" s="431"/>
    </row>
    <row r="116" spans="2:10" ht="95.25" customHeight="1">
      <c r="B116" s="426" t="s">
        <v>448</v>
      </c>
      <c r="C116" s="427" t="s">
        <v>1138</v>
      </c>
      <c r="D116" s="427" t="s">
        <v>1136</v>
      </c>
      <c r="E116" s="427" t="s">
        <v>1139</v>
      </c>
      <c r="F116" s="187" t="s">
        <v>838</v>
      </c>
      <c r="G116" s="188" t="s">
        <v>756</v>
      </c>
      <c r="H116" s="188" t="s">
        <v>152</v>
      </c>
      <c r="I116" s="188" t="s">
        <v>774</v>
      </c>
      <c r="J116" s="188" t="s">
        <v>152</v>
      </c>
    </row>
    <row r="117" spans="2:10" ht="95.25" customHeight="1">
      <c r="B117" s="426"/>
      <c r="C117" s="427"/>
      <c r="D117" s="427"/>
      <c r="E117" s="427"/>
      <c r="F117" s="189" t="s">
        <v>926</v>
      </c>
      <c r="G117" s="189" t="s">
        <v>774</v>
      </c>
      <c r="H117" s="189" t="s">
        <v>152</v>
      </c>
      <c r="I117" s="189" t="s">
        <v>1140</v>
      </c>
      <c r="J117" s="211" t="s">
        <v>152</v>
      </c>
    </row>
    <row r="118" spans="2:10" ht="95.25" customHeight="1">
      <c r="B118" s="429"/>
      <c r="C118" s="430"/>
      <c r="D118" s="430"/>
      <c r="E118" s="430"/>
      <c r="F118" s="204" t="s">
        <v>960</v>
      </c>
      <c r="G118" s="431" t="s">
        <v>942</v>
      </c>
      <c r="H118" s="431"/>
      <c r="I118" s="431"/>
      <c r="J118" s="431"/>
    </row>
    <row r="119" spans="2:10" ht="30">
      <c r="B119" s="426" t="s">
        <v>417</v>
      </c>
      <c r="C119" s="427" t="s">
        <v>1005</v>
      </c>
      <c r="D119" s="427" t="s">
        <v>419</v>
      </c>
      <c r="E119" s="427" t="s">
        <v>1141</v>
      </c>
      <c r="F119" s="187" t="s">
        <v>838</v>
      </c>
      <c r="G119" s="188" t="s">
        <v>824</v>
      </c>
      <c r="H119" s="188" t="s">
        <v>152</v>
      </c>
      <c r="I119" s="188" t="s">
        <v>840</v>
      </c>
      <c r="J119" s="188" t="s">
        <v>152</v>
      </c>
    </row>
    <row r="120" spans="2:10" ht="30">
      <c r="B120" s="426"/>
      <c r="C120" s="427"/>
      <c r="D120" s="427"/>
      <c r="E120" s="427"/>
      <c r="F120" s="189" t="s">
        <v>926</v>
      </c>
      <c r="G120" s="189" t="s">
        <v>840</v>
      </c>
      <c r="H120" s="189" t="s">
        <v>152</v>
      </c>
      <c r="I120" s="189" t="s">
        <v>824</v>
      </c>
      <c r="J120" s="189" t="s">
        <v>152</v>
      </c>
    </row>
    <row r="121" spans="2:10" ht="28.5" customHeight="1">
      <c r="B121" s="426"/>
      <c r="C121" s="427"/>
      <c r="D121" s="427"/>
      <c r="E121" s="427"/>
      <c r="F121" s="186" t="s">
        <v>960</v>
      </c>
      <c r="G121" s="428" t="s">
        <v>942</v>
      </c>
      <c r="H121" s="428"/>
      <c r="I121" s="428"/>
      <c r="J121" s="428"/>
    </row>
    <row r="122" spans="2:10" ht="45" customHeight="1">
      <c r="B122" s="426" t="s">
        <v>473</v>
      </c>
      <c r="C122" s="427" t="s">
        <v>1142</v>
      </c>
      <c r="D122" s="427" t="s">
        <v>1143</v>
      </c>
      <c r="E122" s="427" t="s">
        <v>1144</v>
      </c>
      <c r="F122" s="187" t="s">
        <v>838</v>
      </c>
      <c r="G122" s="188" t="s">
        <v>747</v>
      </c>
      <c r="H122" s="188" t="s">
        <v>152</v>
      </c>
      <c r="I122" s="188" t="s">
        <v>662</v>
      </c>
      <c r="J122" s="188" t="s">
        <v>152</v>
      </c>
    </row>
    <row r="123" spans="2:10" ht="37.5" customHeight="1">
      <c r="B123" s="426"/>
      <c r="C123" s="427"/>
      <c r="D123" s="427"/>
      <c r="E123" s="427"/>
      <c r="F123" s="189" t="s">
        <v>926</v>
      </c>
      <c r="G123" s="189" t="s">
        <v>817</v>
      </c>
      <c r="H123" s="189" t="s">
        <v>152</v>
      </c>
      <c r="I123" s="189" t="s">
        <v>824</v>
      </c>
      <c r="J123" s="189" t="s">
        <v>152</v>
      </c>
    </row>
    <row r="124" spans="2:10" ht="48" customHeight="1">
      <c r="B124" s="426"/>
      <c r="C124" s="427"/>
      <c r="D124" s="427"/>
      <c r="E124" s="427"/>
      <c r="F124" s="186" t="s">
        <v>960</v>
      </c>
      <c r="G124" s="428" t="s">
        <v>942</v>
      </c>
      <c r="H124" s="428"/>
      <c r="I124" s="428"/>
      <c r="J124" s="428"/>
    </row>
    <row r="125" spans="2:10" ht="75" customHeight="1">
      <c r="B125" s="426" t="s">
        <v>502</v>
      </c>
      <c r="C125" s="427" t="s">
        <v>1145</v>
      </c>
      <c r="D125" s="427" t="s">
        <v>1146</v>
      </c>
      <c r="E125" s="427" t="s">
        <v>1147</v>
      </c>
      <c r="F125" s="187" t="s">
        <v>838</v>
      </c>
      <c r="G125" s="188" t="s">
        <v>877</v>
      </c>
      <c r="H125" s="188" t="s">
        <v>152</v>
      </c>
      <c r="I125" s="188" t="s">
        <v>662</v>
      </c>
      <c r="J125" s="188" t="s">
        <v>152</v>
      </c>
    </row>
    <row r="126" spans="2:10" ht="75" customHeight="1">
      <c r="B126" s="426"/>
      <c r="C126" s="427"/>
      <c r="D126" s="427"/>
      <c r="E126" s="427"/>
      <c r="F126" s="189" t="s">
        <v>926</v>
      </c>
      <c r="G126" s="189" t="s">
        <v>840</v>
      </c>
      <c r="H126" s="189" t="s">
        <v>152</v>
      </c>
      <c r="I126" s="189" t="s">
        <v>877</v>
      </c>
      <c r="J126" s="189" t="s">
        <v>152</v>
      </c>
    </row>
    <row r="127" spans="2:10" ht="75" customHeight="1">
      <c r="B127" s="426"/>
      <c r="C127" s="427"/>
      <c r="D127" s="427"/>
      <c r="E127" s="427"/>
      <c r="F127" s="186" t="s">
        <v>960</v>
      </c>
      <c r="G127" s="428" t="s">
        <v>942</v>
      </c>
      <c r="H127" s="428"/>
      <c r="I127" s="428"/>
      <c r="J127" s="428"/>
    </row>
    <row r="128" spans="2:10" ht="75" customHeight="1">
      <c r="B128" s="426" t="s">
        <v>491</v>
      </c>
      <c r="C128" s="427" t="s">
        <v>1148</v>
      </c>
      <c r="D128" s="427" t="s">
        <v>1149</v>
      </c>
      <c r="E128" s="427" t="s">
        <v>1150</v>
      </c>
      <c r="F128" s="187" t="s">
        <v>838</v>
      </c>
      <c r="G128" s="188" t="s">
        <v>784</v>
      </c>
      <c r="H128" s="188" t="s">
        <v>152</v>
      </c>
      <c r="I128" s="188" t="s">
        <v>797</v>
      </c>
      <c r="J128" s="188" t="s">
        <v>152</v>
      </c>
    </row>
    <row r="129" spans="2:10" ht="75" customHeight="1">
      <c r="B129" s="426"/>
      <c r="C129" s="427"/>
      <c r="D129" s="427"/>
      <c r="E129" s="427"/>
      <c r="F129" s="189" t="s">
        <v>926</v>
      </c>
      <c r="G129" s="189" t="s">
        <v>907</v>
      </c>
      <c r="H129" s="189" t="s">
        <v>152</v>
      </c>
      <c r="I129" s="189" t="s">
        <v>797</v>
      </c>
      <c r="J129" s="189" t="s">
        <v>152</v>
      </c>
    </row>
    <row r="130" spans="2:10" ht="75" customHeight="1">
      <c r="B130" s="426"/>
      <c r="C130" s="427"/>
      <c r="D130" s="427"/>
      <c r="E130" s="427"/>
      <c r="F130" s="186" t="s">
        <v>960</v>
      </c>
      <c r="G130" s="428" t="s">
        <v>942</v>
      </c>
      <c r="H130" s="428"/>
      <c r="I130" s="428"/>
      <c r="J130" s="428"/>
    </row>
  </sheetData>
  <autoFilter ref="B2:J2" xr:uid="{84D2CAB9-1F08-451C-B253-0D2AA93DE7FE}"/>
  <mergeCells count="199">
    <mergeCell ref="E65:E67"/>
    <mergeCell ref="G67:J67"/>
    <mergeCell ref="B65:B67"/>
    <mergeCell ref="C65:C67"/>
    <mergeCell ref="D65:D67"/>
    <mergeCell ref="B119:B121"/>
    <mergeCell ref="C119:C121"/>
    <mergeCell ref="D119:D121"/>
    <mergeCell ref="E119:E121"/>
    <mergeCell ref="G121:J121"/>
    <mergeCell ref="B110:B112"/>
    <mergeCell ref="C110:C112"/>
    <mergeCell ref="D110:D112"/>
    <mergeCell ref="E110:E112"/>
    <mergeCell ref="G112:J112"/>
    <mergeCell ref="B116:B118"/>
    <mergeCell ref="C116:C118"/>
    <mergeCell ref="D116:D118"/>
    <mergeCell ref="E116:E118"/>
    <mergeCell ref="G118:J118"/>
    <mergeCell ref="G70:J70"/>
    <mergeCell ref="B68:B70"/>
    <mergeCell ref="C68:C70"/>
    <mergeCell ref="D68:D70"/>
    <mergeCell ref="E68:E70"/>
    <mergeCell ref="B101:B103"/>
    <mergeCell ref="C101:C103"/>
    <mergeCell ref="D101:D103"/>
    <mergeCell ref="E101:E103"/>
    <mergeCell ref="G103:J103"/>
    <mergeCell ref="B95:B97"/>
    <mergeCell ref="C95:C97"/>
    <mergeCell ref="D95:D97"/>
    <mergeCell ref="E95:E97"/>
    <mergeCell ref="G97:J97"/>
    <mergeCell ref="B74:B76"/>
    <mergeCell ref="C74:C76"/>
    <mergeCell ref="D74:D76"/>
    <mergeCell ref="E74:E76"/>
    <mergeCell ref="G76:J76"/>
    <mergeCell ref="B98:B100"/>
    <mergeCell ref="C98:C100"/>
    <mergeCell ref="D98:D100"/>
    <mergeCell ref="E98:E100"/>
    <mergeCell ref="G100:J100"/>
    <mergeCell ref="G73:J73"/>
    <mergeCell ref="E71:E73"/>
    <mergeCell ref="B71:B73"/>
    <mergeCell ref="E51:E53"/>
    <mergeCell ref="G53:J53"/>
    <mergeCell ref="B86:B88"/>
    <mergeCell ref="C86:C88"/>
    <mergeCell ref="D86:D88"/>
    <mergeCell ref="E86:E88"/>
    <mergeCell ref="G88:J88"/>
    <mergeCell ref="D80:D82"/>
    <mergeCell ref="E80:E82"/>
    <mergeCell ref="G82:J82"/>
    <mergeCell ref="G79:J79"/>
    <mergeCell ref="B77:B79"/>
    <mergeCell ref="C77:C79"/>
    <mergeCell ref="D83:D85"/>
    <mergeCell ref="E83:E85"/>
    <mergeCell ref="G85:J85"/>
    <mergeCell ref="B80:B82"/>
    <mergeCell ref="C80:C82"/>
    <mergeCell ref="E77:E79"/>
    <mergeCell ref="B83:B85"/>
    <mergeCell ref="C83:C85"/>
    <mergeCell ref="E54:E64"/>
    <mergeCell ref="F54:F64"/>
    <mergeCell ref="G54:J64"/>
    <mergeCell ref="D42:D44"/>
    <mergeCell ref="E42:E44"/>
    <mergeCell ref="G44:J44"/>
    <mergeCell ref="B45:B47"/>
    <mergeCell ref="C45:C47"/>
    <mergeCell ref="D45:D47"/>
    <mergeCell ref="E45:E47"/>
    <mergeCell ref="G47:J47"/>
    <mergeCell ref="B48:B50"/>
    <mergeCell ref="C48:C50"/>
    <mergeCell ref="D48:D50"/>
    <mergeCell ref="E48:E50"/>
    <mergeCell ref="G50:J50"/>
    <mergeCell ref="B42:B44"/>
    <mergeCell ref="C42:C44"/>
    <mergeCell ref="B51:B53"/>
    <mergeCell ref="C51:C53"/>
    <mergeCell ref="D51:D53"/>
    <mergeCell ref="B24:B26"/>
    <mergeCell ref="C24:C26"/>
    <mergeCell ref="D24:D26"/>
    <mergeCell ref="E24:E26"/>
    <mergeCell ref="E36:E38"/>
    <mergeCell ref="G38:J38"/>
    <mergeCell ref="B30:B32"/>
    <mergeCell ref="C30:C32"/>
    <mergeCell ref="D30:D32"/>
    <mergeCell ref="E30:E32"/>
    <mergeCell ref="G32:J32"/>
    <mergeCell ref="B33:B35"/>
    <mergeCell ref="C33:C35"/>
    <mergeCell ref="D33:D35"/>
    <mergeCell ref="E33:E35"/>
    <mergeCell ref="G35:J35"/>
    <mergeCell ref="B39:B41"/>
    <mergeCell ref="C39:C41"/>
    <mergeCell ref="D39:D41"/>
    <mergeCell ref="E39:E41"/>
    <mergeCell ref="G41:J41"/>
    <mergeCell ref="E15:E17"/>
    <mergeCell ref="G17:J17"/>
    <mergeCell ref="B15:B17"/>
    <mergeCell ref="C15:C17"/>
    <mergeCell ref="D15:D17"/>
    <mergeCell ref="B21:B23"/>
    <mergeCell ref="C21:C23"/>
    <mergeCell ref="D21:D23"/>
    <mergeCell ref="E21:E23"/>
    <mergeCell ref="G23:J23"/>
    <mergeCell ref="B18:B20"/>
    <mergeCell ref="C18:C20"/>
    <mergeCell ref="D18:D20"/>
    <mergeCell ref="E18:E20"/>
    <mergeCell ref="G20:J20"/>
    <mergeCell ref="B9:B11"/>
    <mergeCell ref="C9:C11"/>
    <mergeCell ref="D9:D11"/>
    <mergeCell ref="E9:E11"/>
    <mergeCell ref="G11:J11"/>
    <mergeCell ref="B12:B14"/>
    <mergeCell ref="C12:C14"/>
    <mergeCell ref="D12:D14"/>
    <mergeCell ref="G14:J14"/>
    <mergeCell ref="E12:E14"/>
    <mergeCell ref="B1:J1"/>
    <mergeCell ref="B3:B5"/>
    <mergeCell ref="C3:C5"/>
    <mergeCell ref="D3:D5"/>
    <mergeCell ref="E3:E5"/>
    <mergeCell ref="G5:J5"/>
    <mergeCell ref="B6:B8"/>
    <mergeCell ref="C6:C8"/>
    <mergeCell ref="D6:D8"/>
    <mergeCell ref="E6:E8"/>
    <mergeCell ref="G8:J8"/>
    <mergeCell ref="B27:B29"/>
    <mergeCell ref="C27:C29"/>
    <mergeCell ref="D27:D29"/>
    <mergeCell ref="E27:E29"/>
    <mergeCell ref="G29:J29"/>
    <mergeCell ref="B36:B38"/>
    <mergeCell ref="C36:C38"/>
    <mergeCell ref="D36:D38"/>
    <mergeCell ref="G26:J26"/>
    <mergeCell ref="C71:C73"/>
    <mergeCell ref="D71:D73"/>
    <mergeCell ref="B92:B94"/>
    <mergeCell ref="C92:C94"/>
    <mergeCell ref="D92:D94"/>
    <mergeCell ref="E92:E94"/>
    <mergeCell ref="G94:J94"/>
    <mergeCell ref="B89:B91"/>
    <mergeCell ref="C89:C91"/>
    <mergeCell ref="D89:D91"/>
    <mergeCell ref="E89:E91"/>
    <mergeCell ref="G91:J91"/>
    <mergeCell ref="D77:D79"/>
    <mergeCell ref="B104:B106"/>
    <mergeCell ref="C104:C106"/>
    <mergeCell ref="D104:D106"/>
    <mergeCell ref="E104:E106"/>
    <mergeCell ref="G106:J106"/>
    <mergeCell ref="B122:B124"/>
    <mergeCell ref="C122:C124"/>
    <mergeCell ref="D122:D124"/>
    <mergeCell ref="E122:E124"/>
    <mergeCell ref="G124:J124"/>
    <mergeCell ref="B107:B109"/>
    <mergeCell ref="C107:C109"/>
    <mergeCell ref="D107:D109"/>
    <mergeCell ref="E107:E109"/>
    <mergeCell ref="G109:J109"/>
    <mergeCell ref="B113:B115"/>
    <mergeCell ref="C113:C115"/>
    <mergeCell ref="D113:D115"/>
    <mergeCell ref="E113:E115"/>
    <mergeCell ref="G115:J115"/>
    <mergeCell ref="B128:B130"/>
    <mergeCell ref="C128:C130"/>
    <mergeCell ref="D128:D130"/>
    <mergeCell ref="E128:E130"/>
    <mergeCell ref="G130:J130"/>
    <mergeCell ref="B125:B127"/>
    <mergeCell ref="C125:C127"/>
    <mergeCell ref="D125:D127"/>
    <mergeCell ref="E125:E127"/>
    <mergeCell ref="G127:J127"/>
  </mergeCells>
  <hyperlinks>
    <hyperlink ref="B54" r:id="rId1" display="https://sei.cjf.jus.br/sei/controlador.php?acao=procedimento_trabalhar&amp;id_procedimento=6018" xr:uid="{206498F5-96C5-46CD-9539-DEEC4177C8DB}"/>
    <hyperlink ref="B55" r:id="rId2" display="https://sei.cjf.jus.br/sei/controlador.php?acao=procedimento_trabalhar&amp;id_procedimento=12013" xr:uid="{375719D1-7C58-4499-80AD-68FC152FCEA0}"/>
    <hyperlink ref="B56" r:id="rId3" display="https://sei.cjf.jus.br/sei/controlador.php?acao=procedimento_trabalhar&amp;id_procedimento=241613" xr:uid="{50892B68-95F3-41E9-9D52-2FCF3B790E3D}"/>
    <hyperlink ref="B57" r:id="rId4" display="https://sei.cjf.jus.br/sei/controlador.php?acao=procedimento_trabalhar&amp;id_procedimento=399842" xr:uid="{1FA1EEC5-051C-4CFB-A114-3E1A8B0FC81B}"/>
    <hyperlink ref="B58" r:id="rId5" display="https://sei.cjf.jus.br/sei/controlador.php?acao=procedimento_trabalhar&amp;id_procedimento=331620" xr:uid="{E382687C-7D25-4920-A982-C0D2F8F89DA6}"/>
    <hyperlink ref="B59" r:id="rId6" display="https://sei.cjf.jus.br/sei/controlador.php?acao=procedimento_trabalhar&amp;id_procedimento=190615" xr:uid="{66E1B7AA-199A-4238-A764-93A30CA00675}"/>
    <hyperlink ref="B71" r:id="rId7" display="https://sei.cjf.jus.br/sei/controlador.php?acao=procedimento_trabalhar&amp;id_procedimento=168451" xr:uid="{A87B5DF4-8B42-4E17-9E9F-7812C503A297}"/>
    <hyperlink ref="B60" r:id="rId8" display="https://sei.cjf.jus.br/sei/controlador.php?acao=procedimento_trabalhar&amp;id_procedimento=226414" xr:uid="{780C66FB-87A9-40FD-85FC-88889FF53394}"/>
    <hyperlink ref="B61" r:id="rId9" display="https://sei.cjf.jus.br/sei/controlador.php?acao=protocolo_visualizar&amp;id_protocolo=436719&amp;id_procedimento_atual=534147&amp;infra_sistema=100000100&amp;infra_unidade_atual=110001518&amp;infra_hash=3fd147e1e97e5cdc13ae6884d0eb360cb0318fe0ec6fe951ba016e9136783806187880b059dd492a6bee3167bb79f21b558b7d1573d749fb766b765eef5c481c41f1394791733f6dcd237ccf181ebc8c7689e8e7cf1442ebb44034827e062933" xr:uid="{77F01B42-F0CF-4D72-A6EC-522B8E42C619}"/>
    <hyperlink ref="B62" r:id="rId10" display="https://sei.cjf.jus.br/sei/controlador.php?acao=procedimento_trabalhar&amp;id_procedimento=134109" xr:uid="{D3FD45BF-55D3-41FA-BA57-B34DFA7A6247}"/>
    <hyperlink ref="B63" r:id="rId11" display="https://sei.cjf.jus.br/sei/controlador.php?acao=procedimento_trabalhar&amp;id_procedimento=170475" xr:uid="{E0035FD2-EA13-4760-9CA5-8E117418CD13}"/>
    <hyperlink ref="B64" r:id="rId12" display="https://sei.cjf.jus.br/sei/controlador.php?acao=procedimento_trabalhar&amp;id_procedimento=497867" xr:uid="{0545DD89-465A-4FA3-A0BA-DB2A854C9D65}"/>
    <hyperlink ref="B68" r:id="rId13" display="https://sei.cjf.jus.br/sei/controlador.php?acao=procedimento_trabalhar&amp;id_procedimento=473010" xr:uid="{88912532-4D14-465E-B288-99D1D74F88CA}"/>
    <hyperlink ref="B65" r:id="rId14" display="https://sei.cjf.jus.br/sei/controlador.php?acao=procedimento_trabalhar&amp;id_procedimento=134109" xr:uid="{09AFD332-D6C7-46B8-8F89-870504ACA46F}"/>
  </hyperlinks>
  <pageMargins left="0.25" right="0.25" top="0.75" bottom="0.75" header="0.3" footer="0.3"/>
  <pageSetup paperSize="9" scale="40" fitToWidth="0" orientation="landscape" r:id="rId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040B-8DF6-4A3C-88C6-4A94D77C3258}">
  <sheetPr filterMode="1">
    <pageSetUpPr fitToPage="1"/>
  </sheetPr>
  <dimension ref="B1:J101"/>
  <sheetViews>
    <sheetView zoomScale="80" zoomScaleNormal="80" workbookViewId="0">
      <pane ySplit="2" topLeftCell="A82" activePane="bottomLeft" state="frozen"/>
      <selection pane="bottomLeft" activeCell="I78" sqref="I78"/>
    </sheetView>
  </sheetViews>
  <sheetFormatPr defaultRowHeight="95.25" customHeight="1"/>
  <cols>
    <col min="1" max="1" width="3.42578125" customWidth="1"/>
    <col min="2" max="3" width="27.42578125" customWidth="1"/>
    <col min="4" max="4" width="43.140625" customWidth="1"/>
    <col min="5" max="5" width="18.42578125" customWidth="1"/>
    <col min="6" max="6" width="23.5703125" customWidth="1"/>
    <col min="7" max="7" width="50.7109375" customWidth="1"/>
    <col min="8" max="8" width="15" customWidth="1"/>
    <col min="9" max="9" width="44.42578125" customWidth="1"/>
    <col min="10" max="10" width="15.5703125" customWidth="1"/>
    <col min="11" max="11" width="11.85546875" bestFit="1" customWidth="1"/>
  </cols>
  <sheetData>
    <row r="1" spans="2:10" ht="75" customHeight="1">
      <c r="B1" s="485" t="s">
        <v>1151</v>
      </c>
      <c r="C1" s="440"/>
      <c r="D1" s="441"/>
      <c r="E1" s="441"/>
      <c r="F1" s="441"/>
      <c r="G1" s="441"/>
      <c r="H1" s="441"/>
      <c r="I1" s="441"/>
      <c r="J1" s="442"/>
    </row>
    <row r="2" spans="2:10" ht="33.75" customHeight="1">
      <c r="B2" s="155" t="s">
        <v>2</v>
      </c>
      <c r="C2" s="156" t="s">
        <v>919</v>
      </c>
      <c r="D2" s="157" t="s">
        <v>643</v>
      </c>
      <c r="E2" s="159" t="s">
        <v>644</v>
      </c>
      <c r="F2" s="158" t="s">
        <v>920</v>
      </c>
      <c r="G2" s="158" t="s">
        <v>646</v>
      </c>
      <c r="H2" s="159" t="s">
        <v>647</v>
      </c>
      <c r="I2" s="158" t="s">
        <v>648</v>
      </c>
      <c r="J2" s="230" t="s">
        <v>647</v>
      </c>
    </row>
    <row r="3" spans="2:10" ht="50.1" customHeight="1">
      <c r="B3" s="486" t="s">
        <v>549</v>
      </c>
      <c r="C3" s="427" t="s">
        <v>1152</v>
      </c>
      <c r="D3" s="427" t="s">
        <v>1153</v>
      </c>
      <c r="E3" s="427" t="s">
        <v>1154</v>
      </c>
      <c r="F3" s="187" t="s">
        <v>838</v>
      </c>
      <c r="G3" s="188" t="s">
        <v>824</v>
      </c>
      <c r="H3" s="229" t="s">
        <v>152</v>
      </c>
      <c r="I3" s="188" t="s">
        <v>662</v>
      </c>
      <c r="J3" s="188" t="s">
        <v>152</v>
      </c>
    </row>
    <row r="4" spans="2:10" ht="50.1" customHeight="1">
      <c r="B4" s="486"/>
      <c r="C4" s="427"/>
      <c r="D4" s="427"/>
      <c r="E4" s="427"/>
      <c r="F4" s="189" t="s">
        <v>926</v>
      </c>
      <c r="G4" s="211" t="s">
        <v>840</v>
      </c>
      <c r="H4" s="211" t="s">
        <v>152</v>
      </c>
      <c r="I4" s="211" t="s">
        <v>662</v>
      </c>
      <c r="J4" s="211" t="s">
        <v>152</v>
      </c>
    </row>
    <row r="5" spans="2:10" ht="50.1" customHeight="1">
      <c r="B5" s="486"/>
      <c r="C5" s="427"/>
      <c r="D5" s="427"/>
      <c r="E5" s="427"/>
      <c r="F5" s="186" t="s">
        <v>960</v>
      </c>
      <c r="G5" s="428" t="s">
        <v>942</v>
      </c>
      <c r="H5" s="428"/>
      <c r="I5" s="428"/>
      <c r="J5" s="428"/>
    </row>
    <row r="6" spans="2:10" ht="49.5" customHeight="1">
      <c r="B6" s="484" t="s">
        <v>776</v>
      </c>
      <c r="C6" s="490" t="s">
        <v>1058</v>
      </c>
      <c r="D6" s="427" t="s">
        <v>1155</v>
      </c>
      <c r="E6" s="491" t="s">
        <v>1156</v>
      </c>
      <c r="F6" s="187" t="s">
        <v>838</v>
      </c>
      <c r="G6" s="188" t="s">
        <v>654</v>
      </c>
      <c r="H6" s="188" t="s">
        <v>163</v>
      </c>
      <c r="I6" s="188" t="s">
        <v>917</v>
      </c>
      <c r="J6" s="188" t="s">
        <v>163</v>
      </c>
    </row>
    <row r="7" spans="2:10" ht="49.5" customHeight="1">
      <c r="B7" s="484"/>
      <c r="C7" s="490"/>
      <c r="D7" s="427"/>
      <c r="E7" s="491"/>
      <c r="F7" s="189" t="s">
        <v>926</v>
      </c>
      <c r="G7" s="189" t="s">
        <v>774</v>
      </c>
      <c r="H7" s="189" t="s">
        <v>152</v>
      </c>
      <c r="I7" s="189" t="s">
        <v>900</v>
      </c>
      <c r="J7" s="211" t="s">
        <v>152</v>
      </c>
    </row>
    <row r="8" spans="2:10" ht="49.5" customHeight="1">
      <c r="B8" s="484"/>
      <c r="C8" s="490"/>
      <c r="D8" s="427"/>
      <c r="E8" s="491"/>
      <c r="F8" s="186" t="s">
        <v>960</v>
      </c>
      <c r="G8" s="428" t="s">
        <v>942</v>
      </c>
      <c r="H8" s="428"/>
      <c r="I8" s="428"/>
      <c r="J8" s="428"/>
    </row>
    <row r="9" spans="2:10" ht="49.5" customHeight="1">
      <c r="B9" s="487" t="s">
        <v>461</v>
      </c>
      <c r="C9" s="447" t="s">
        <v>1157</v>
      </c>
      <c r="D9" s="438" t="s">
        <v>1155</v>
      </c>
      <c r="E9" s="447" t="s">
        <v>1158</v>
      </c>
      <c r="F9" s="168" t="s">
        <v>838</v>
      </c>
      <c r="G9" s="169" t="s">
        <v>917</v>
      </c>
      <c r="H9" s="169" t="s">
        <v>163</v>
      </c>
      <c r="I9" s="169" t="s">
        <v>773</v>
      </c>
      <c r="J9" s="170" t="s">
        <v>163</v>
      </c>
    </row>
    <row r="10" spans="2:10" ht="49.5" customHeight="1">
      <c r="B10" s="488"/>
      <c r="C10" s="391"/>
      <c r="D10" s="404"/>
      <c r="E10" s="391"/>
      <c r="F10" s="98" t="s">
        <v>926</v>
      </c>
      <c r="G10" s="98" t="s">
        <v>774</v>
      </c>
      <c r="H10" s="98" t="s">
        <v>152</v>
      </c>
      <c r="I10" s="98" t="s">
        <v>900</v>
      </c>
      <c r="J10" s="55" t="s">
        <v>152</v>
      </c>
    </row>
    <row r="11" spans="2:10" ht="49.5" customHeight="1">
      <c r="B11" s="489"/>
      <c r="C11" s="391"/>
      <c r="D11" s="444"/>
      <c r="E11" s="391"/>
      <c r="F11" s="161" t="s">
        <v>960</v>
      </c>
      <c r="G11" s="445" t="s">
        <v>942</v>
      </c>
      <c r="H11" s="445"/>
      <c r="I11" s="445"/>
      <c r="J11" s="446"/>
    </row>
    <row r="12" spans="2:10" ht="49.5" customHeight="1">
      <c r="B12" s="486" t="s">
        <v>366</v>
      </c>
      <c r="C12" s="427" t="s">
        <v>1159</v>
      </c>
      <c r="D12" s="427" t="s">
        <v>1088</v>
      </c>
      <c r="E12" s="427" t="s">
        <v>1160</v>
      </c>
      <c r="F12" s="187" t="s">
        <v>838</v>
      </c>
      <c r="G12" s="188" t="s">
        <v>774</v>
      </c>
      <c r="H12" s="229" t="s">
        <v>152</v>
      </c>
      <c r="I12" s="188" t="s">
        <v>900</v>
      </c>
      <c r="J12" s="188" t="s">
        <v>152</v>
      </c>
    </row>
    <row r="13" spans="2:10" ht="49.5" customHeight="1">
      <c r="B13" s="486"/>
      <c r="C13" s="427"/>
      <c r="D13" s="427"/>
      <c r="E13" s="427"/>
      <c r="F13" s="189" t="s">
        <v>926</v>
      </c>
      <c r="G13" s="211" t="s">
        <v>900</v>
      </c>
      <c r="H13" s="211" t="s">
        <v>152</v>
      </c>
      <c r="I13" s="211" t="s">
        <v>774</v>
      </c>
      <c r="J13" s="211" t="s">
        <v>152</v>
      </c>
    </row>
    <row r="14" spans="2:10" ht="49.5" customHeight="1">
      <c r="B14" s="486"/>
      <c r="C14" s="427"/>
      <c r="D14" s="427"/>
      <c r="E14" s="427"/>
      <c r="F14" s="186" t="s">
        <v>960</v>
      </c>
      <c r="G14" s="428" t="s">
        <v>942</v>
      </c>
      <c r="H14" s="428"/>
      <c r="I14" s="428"/>
      <c r="J14" s="428"/>
    </row>
    <row r="15" spans="2:10" ht="49.5" customHeight="1">
      <c r="B15" s="484" t="s">
        <v>370</v>
      </c>
      <c r="C15" s="427" t="s">
        <v>1161</v>
      </c>
      <c r="D15" s="427" t="s">
        <v>1162</v>
      </c>
      <c r="E15" s="427" t="s">
        <v>1163</v>
      </c>
      <c r="F15" s="187" t="s">
        <v>838</v>
      </c>
      <c r="G15" s="188" t="s">
        <v>710</v>
      </c>
      <c r="H15" s="188" t="s">
        <v>163</v>
      </c>
      <c r="I15" s="188" t="s">
        <v>917</v>
      </c>
      <c r="J15" s="188" t="s">
        <v>163</v>
      </c>
    </row>
    <row r="16" spans="2:10" ht="49.5" customHeight="1">
      <c r="B16" s="484"/>
      <c r="C16" s="427"/>
      <c r="D16" s="427"/>
      <c r="E16" s="427"/>
      <c r="F16" s="189" t="s">
        <v>926</v>
      </c>
      <c r="G16" s="189" t="s">
        <v>774</v>
      </c>
      <c r="H16" s="189" t="s">
        <v>152</v>
      </c>
      <c r="I16" s="189" t="s">
        <v>900</v>
      </c>
      <c r="J16" s="189" t="s">
        <v>152</v>
      </c>
    </row>
    <row r="17" spans="2:10" ht="49.5" customHeight="1">
      <c r="B17" s="484"/>
      <c r="C17" s="427"/>
      <c r="D17" s="427"/>
      <c r="E17" s="427"/>
      <c r="F17" s="186" t="s">
        <v>960</v>
      </c>
      <c r="G17" s="428" t="s">
        <v>942</v>
      </c>
      <c r="H17" s="428"/>
      <c r="I17" s="428"/>
      <c r="J17" s="428"/>
    </row>
    <row r="18" spans="2:10" ht="49.5" customHeight="1">
      <c r="B18" s="484" t="s">
        <v>529</v>
      </c>
      <c r="C18" s="427" t="s">
        <v>1164</v>
      </c>
      <c r="D18" s="427" t="s">
        <v>531</v>
      </c>
      <c r="E18" s="427" t="s">
        <v>1165</v>
      </c>
      <c r="F18" s="187" t="s">
        <v>838</v>
      </c>
      <c r="G18" s="188" t="s">
        <v>756</v>
      </c>
      <c r="H18" s="188" t="s">
        <v>152</v>
      </c>
      <c r="I18" s="188" t="s">
        <v>662</v>
      </c>
      <c r="J18" s="188" t="s">
        <v>152</v>
      </c>
    </row>
    <row r="19" spans="2:10" ht="49.5" customHeight="1">
      <c r="B19" s="484"/>
      <c r="C19" s="427"/>
      <c r="D19" s="427"/>
      <c r="E19" s="427"/>
      <c r="F19" s="189" t="s">
        <v>926</v>
      </c>
      <c r="G19" s="189" t="s">
        <v>774</v>
      </c>
      <c r="H19" s="189" t="s">
        <v>152</v>
      </c>
      <c r="I19" s="189" t="s">
        <v>900</v>
      </c>
      <c r="J19" s="189" t="s">
        <v>152</v>
      </c>
    </row>
    <row r="20" spans="2:10" ht="49.5" customHeight="1">
      <c r="B20" s="484"/>
      <c r="C20" s="427"/>
      <c r="D20" s="427"/>
      <c r="E20" s="427"/>
      <c r="F20" s="186" t="s">
        <v>960</v>
      </c>
      <c r="G20" s="428" t="s">
        <v>942</v>
      </c>
      <c r="H20" s="428"/>
      <c r="I20" s="428"/>
      <c r="J20" s="428"/>
    </row>
    <row r="21" spans="2:10" ht="49.5" customHeight="1">
      <c r="B21" s="484" t="s">
        <v>230</v>
      </c>
      <c r="C21" s="427" t="s">
        <v>1166</v>
      </c>
      <c r="D21" s="427" t="s">
        <v>1167</v>
      </c>
      <c r="E21" s="427" t="s">
        <v>1168</v>
      </c>
      <c r="F21" s="187" t="s">
        <v>838</v>
      </c>
      <c r="G21" s="188" t="s">
        <v>774</v>
      </c>
      <c r="H21" s="188" t="s">
        <v>152</v>
      </c>
      <c r="I21" s="188" t="s">
        <v>756</v>
      </c>
      <c r="J21" s="188" t="s">
        <v>152</v>
      </c>
    </row>
    <row r="22" spans="2:10" ht="49.5" customHeight="1">
      <c r="B22" s="484"/>
      <c r="C22" s="427"/>
      <c r="D22" s="427"/>
      <c r="E22" s="427"/>
      <c r="F22" s="189" t="s">
        <v>926</v>
      </c>
      <c r="G22" s="189" t="s">
        <v>900</v>
      </c>
      <c r="H22" s="189" t="s">
        <v>152</v>
      </c>
      <c r="I22" s="189" t="s">
        <v>774</v>
      </c>
      <c r="J22" s="189" t="s">
        <v>152</v>
      </c>
    </row>
    <row r="23" spans="2:10" ht="49.5" customHeight="1">
      <c r="B23" s="484"/>
      <c r="C23" s="427"/>
      <c r="D23" s="427"/>
      <c r="E23" s="427"/>
      <c r="F23" s="186" t="s">
        <v>960</v>
      </c>
      <c r="G23" s="428" t="s">
        <v>942</v>
      </c>
      <c r="H23" s="428"/>
      <c r="I23" s="428"/>
      <c r="J23" s="428"/>
    </row>
    <row r="24" spans="2:10" ht="49.5" customHeight="1">
      <c r="B24" s="484" t="s">
        <v>707</v>
      </c>
      <c r="C24" s="427" t="s">
        <v>1169</v>
      </c>
      <c r="D24" s="427" t="s">
        <v>1170</v>
      </c>
      <c r="E24" s="427" t="s">
        <v>1171</v>
      </c>
      <c r="F24" s="187" t="s">
        <v>838</v>
      </c>
      <c r="G24" s="188" t="s">
        <v>710</v>
      </c>
      <c r="H24" s="188" t="s">
        <v>163</v>
      </c>
      <c r="I24" s="188" t="s">
        <v>917</v>
      </c>
      <c r="J24" s="188" t="s">
        <v>163</v>
      </c>
    </row>
    <row r="25" spans="2:10" ht="49.5" customHeight="1">
      <c r="B25" s="484"/>
      <c r="C25" s="427"/>
      <c r="D25" s="427"/>
      <c r="E25" s="427"/>
      <c r="F25" s="189" t="s">
        <v>926</v>
      </c>
      <c r="G25" s="189" t="s">
        <v>774</v>
      </c>
      <c r="H25" s="189" t="s">
        <v>152</v>
      </c>
      <c r="I25" s="189" t="s">
        <v>900</v>
      </c>
      <c r="J25" s="189" t="s">
        <v>152</v>
      </c>
    </row>
    <row r="26" spans="2:10" ht="49.5" customHeight="1">
      <c r="B26" s="484"/>
      <c r="C26" s="427"/>
      <c r="D26" s="427"/>
      <c r="E26" s="427"/>
      <c r="F26" s="186" t="s">
        <v>960</v>
      </c>
      <c r="G26" s="428" t="s">
        <v>942</v>
      </c>
      <c r="H26" s="428"/>
      <c r="I26" s="428"/>
      <c r="J26" s="428"/>
    </row>
    <row r="27" spans="2:10" ht="49.5" customHeight="1">
      <c r="B27" s="484" t="s">
        <v>344</v>
      </c>
      <c r="C27" s="427" t="s">
        <v>1172</v>
      </c>
      <c r="D27" s="427" t="s">
        <v>1173</v>
      </c>
      <c r="E27" s="427" t="s">
        <v>1174</v>
      </c>
      <c r="F27" s="187" t="s">
        <v>838</v>
      </c>
      <c r="G27" s="188" t="s">
        <v>756</v>
      </c>
      <c r="H27" s="188" t="s">
        <v>152</v>
      </c>
      <c r="I27" s="188" t="s">
        <v>662</v>
      </c>
      <c r="J27" s="188" t="s">
        <v>152</v>
      </c>
    </row>
    <row r="28" spans="2:10" ht="49.5" customHeight="1">
      <c r="B28" s="484"/>
      <c r="C28" s="427"/>
      <c r="D28" s="427"/>
      <c r="E28" s="427"/>
      <c r="F28" s="189" t="s">
        <v>926</v>
      </c>
      <c r="G28" s="189" t="s">
        <v>774</v>
      </c>
      <c r="H28" s="189" t="s">
        <v>152</v>
      </c>
      <c r="I28" s="189" t="s">
        <v>900</v>
      </c>
      <c r="J28" s="189" t="s">
        <v>152</v>
      </c>
    </row>
    <row r="29" spans="2:10" ht="49.5" customHeight="1">
      <c r="B29" s="484"/>
      <c r="C29" s="427"/>
      <c r="D29" s="427"/>
      <c r="E29" s="427"/>
      <c r="F29" s="186" t="s">
        <v>960</v>
      </c>
      <c r="G29" s="428" t="s">
        <v>942</v>
      </c>
      <c r="H29" s="428"/>
      <c r="I29" s="428"/>
      <c r="J29" s="428"/>
    </row>
    <row r="30" spans="2:10" ht="49.5" customHeight="1">
      <c r="B30" s="484" t="s">
        <v>512</v>
      </c>
      <c r="C30" s="427" t="s">
        <v>1175</v>
      </c>
      <c r="D30" s="427" t="s">
        <v>1176</v>
      </c>
      <c r="E30" s="427" t="s">
        <v>1177</v>
      </c>
      <c r="F30" s="187" t="s">
        <v>838</v>
      </c>
      <c r="G30" s="188" t="s">
        <v>774</v>
      </c>
      <c r="H30" s="188" t="s">
        <v>152</v>
      </c>
      <c r="I30" s="188" t="s">
        <v>756</v>
      </c>
      <c r="J30" s="188" t="s">
        <v>152</v>
      </c>
    </row>
    <row r="31" spans="2:10" ht="49.5" customHeight="1">
      <c r="B31" s="484"/>
      <c r="C31" s="427"/>
      <c r="D31" s="427"/>
      <c r="E31" s="427"/>
      <c r="F31" s="189" t="s">
        <v>926</v>
      </c>
      <c r="G31" s="189" t="s">
        <v>900</v>
      </c>
      <c r="H31" s="189" t="s">
        <v>152</v>
      </c>
      <c r="I31" s="189" t="s">
        <v>774</v>
      </c>
      <c r="J31" s="189" t="s">
        <v>152</v>
      </c>
    </row>
    <row r="32" spans="2:10" ht="49.5" customHeight="1">
      <c r="B32" s="484"/>
      <c r="C32" s="427"/>
      <c r="D32" s="427"/>
      <c r="E32" s="427"/>
      <c r="F32" s="186" t="s">
        <v>960</v>
      </c>
      <c r="G32" s="428" t="s">
        <v>942</v>
      </c>
      <c r="H32" s="428"/>
      <c r="I32" s="428"/>
      <c r="J32" s="428"/>
    </row>
    <row r="33" spans="2:10" ht="49.5" customHeight="1">
      <c r="B33" s="486" t="s">
        <v>219</v>
      </c>
      <c r="C33" s="427" t="s">
        <v>1178</v>
      </c>
      <c r="D33" s="427" t="s">
        <v>1179</v>
      </c>
      <c r="E33" s="427" t="s">
        <v>1180</v>
      </c>
      <c r="F33" s="187" t="s">
        <v>838</v>
      </c>
      <c r="G33" s="188" t="s">
        <v>756</v>
      </c>
      <c r="H33" s="229" t="s">
        <v>152</v>
      </c>
      <c r="I33" s="188" t="s">
        <v>977</v>
      </c>
      <c r="J33" s="229" t="s">
        <v>152</v>
      </c>
    </row>
    <row r="34" spans="2:10" ht="49.5" customHeight="1">
      <c r="B34" s="486"/>
      <c r="C34" s="427"/>
      <c r="D34" s="427"/>
      <c r="E34" s="427"/>
      <c r="F34" s="189" t="s">
        <v>926</v>
      </c>
      <c r="G34" s="211" t="s">
        <v>1181</v>
      </c>
      <c r="H34" s="211" t="s">
        <v>152</v>
      </c>
      <c r="I34" s="211" t="s">
        <v>774</v>
      </c>
      <c r="J34" s="211" t="s">
        <v>152</v>
      </c>
    </row>
    <row r="35" spans="2:10" ht="49.5" customHeight="1">
      <c r="B35" s="486"/>
      <c r="C35" s="427"/>
      <c r="D35" s="427"/>
      <c r="E35" s="427"/>
      <c r="F35" s="186" t="s">
        <v>960</v>
      </c>
      <c r="G35" s="428" t="s">
        <v>942</v>
      </c>
      <c r="H35" s="428"/>
      <c r="I35" s="428"/>
      <c r="J35" s="428"/>
    </row>
    <row r="36" spans="2:10" ht="49.5" customHeight="1">
      <c r="B36" s="484" t="s">
        <v>491</v>
      </c>
      <c r="C36" s="427" t="s">
        <v>1148</v>
      </c>
      <c r="D36" s="427" t="s">
        <v>1182</v>
      </c>
      <c r="E36" s="427" t="s">
        <v>1183</v>
      </c>
      <c r="F36" s="187" t="s">
        <v>838</v>
      </c>
      <c r="G36" s="188" t="s">
        <v>784</v>
      </c>
      <c r="H36" s="188" t="s">
        <v>152</v>
      </c>
      <c r="I36" s="188" t="s">
        <v>797</v>
      </c>
      <c r="J36" s="188" t="s">
        <v>152</v>
      </c>
    </row>
    <row r="37" spans="2:10" ht="49.5" customHeight="1">
      <c r="B37" s="484"/>
      <c r="C37" s="427"/>
      <c r="D37" s="427"/>
      <c r="E37" s="427"/>
      <c r="F37" s="189" t="s">
        <v>926</v>
      </c>
      <c r="G37" s="189" t="s">
        <v>907</v>
      </c>
      <c r="H37" s="189" t="s">
        <v>152</v>
      </c>
      <c r="I37" s="189" t="s">
        <v>797</v>
      </c>
      <c r="J37" s="189" t="s">
        <v>152</v>
      </c>
    </row>
    <row r="38" spans="2:10" ht="49.5" customHeight="1">
      <c r="B38" s="484"/>
      <c r="C38" s="427"/>
      <c r="D38" s="427"/>
      <c r="E38" s="427"/>
      <c r="F38" s="186" t="s">
        <v>960</v>
      </c>
      <c r="G38" s="428" t="s">
        <v>942</v>
      </c>
      <c r="H38" s="428"/>
      <c r="I38" s="428"/>
      <c r="J38" s="428"/>
    </row>
    <row r="39" spans="2:10" ht="49.5" customHeight="1">
      <c r="B39" s="484" t="s">
        <v>461</v>
      </c>
      <c r="C39" s="427" t="s">
        <v>1184</v>
      </c>
      <c r="D39" s="427" t="s">
        <v>1185</v>
      </c>
      <c r="E39" s="427" t="s">
        <v>1186</v>
      </c>
      <c r="F39" s="187" t="s">
        <v>838</v>
      </c>
      <c r="G39" s="188" t="s">
        <v>654</v>
      </c>
      <c r="H39" s="188" t="s">
        <v>163</v>
      </c>
      <c r="I39" s="188" t="s">
        <v>773</v>
      </c>
      <c r="J39" s="188" t="s">
        <v>163</v>
      </c>
    </row>
    <row r="40" spans="2:10" ht="49.5" customHeight="1">
      <c r="B40" s="484"/>
      <c r="C40" s="427"/>
      <c r="D40" s="427"/>
      <c r="E40" s="427"/>
      <c r="F40" s="189" t="s">
        <v>926</v>
      </c>
      <c r="G40" s="189" t="s">
        <v>774</v>
      </c>
      <c r="H40" s="189" t="s">
        <v>152</v>
      </c>
      <c r="I40" s="189" t="s">
        <v>900</v>
      </c>
      <c r="J40" s="189" t="s">
        <v>152</v>
      </c>
    </row>
    <row r="41" spans="2:10" ht="49.5" customHeight="1">
      <c r="B41" s="484"/>
      <c r="C41" s="427"/>
      <c r="D41" s="427"/>
      <c r="E41" s="427"/>
      <c r="F41" s="186" t="s">
        <v>960</v>
      </c>
      <c r="G41" s="428" t="s">
        <v>942</v>
      </c>
      <c r="H41" s="428"/>
      <c r="I41" s="428"/>
      <c r="J41" s="428"/>
    </row>
    <row r="42" spans="2:10" ht="49.5" customHeight="1">
      <c r="B42" s="484" t="s">
        <v>523</v>
      </c>
      <c r="C42" s="427" t="s">
        <v>1187</v>
      </c>
      <c r="D42" s="427" t="s">
        <v>1188</v>
      </c>
      <c r="E42" s="427" t="s">
        <v>1189</v>
      </c>
      <c r="F42" s="187" t="s">
        <v>838</v>
      </c>
      <c r="G42" s="188" t="s">
        <v>756</v>
      </c>
      <c r="H42" s="188" t="s">
        <v>152</v>
      </c>
      <c r="I42" s="188" t="s">
        <v>774</v>
      </c>
      <c r="J42" s="188" t="s">
        <v>152</v>
      </c>
    </row>
    <row r="43" spans="2:10" ht="49.5" customHeight="1">
      <c r="B43" s="484"/>
      <c r="C43" s="427"/>
      <c r="D43" s="427"/>
      <c r="E43" s="427"/>
      <c r="F43" s="189" t="s">
        <v>926</v>
      </c>
      <c r="G43" s="189" t="s">
        <v>900</v>
      </c>
      <c r="H43" s="189" t="s">
        <v>152</v>
      </c>
      <c r="I43" s="189" t="s">
        <v>774</v>
      </c>
      <c r="J43" s="189" t="s">
        <v>152</v>
      </c>
    </row>
    <row r="44" spans="2:10" ht="49.5" customHeight="1">
      <c r="B44" s="484"/>
      <c r="C44" s="427"/>
      <c r="D44" s="427"/>
      <c r="E44" s="427"/>
      <c r="F44" s="186" t="s">
        <v>960</v>
      </c>
      <c r="G44" s="428" t="s">
        <v>942</v>
      </c>
      <c r="H44" s="428"/>
      <c r="I44" s="428"/>
      <c r="J44" s="428"/>
    </row>
    <row r="45" spans="2:10" ht="49.5" customHeight="1">
      <c r="B45" s="484" t="s">
        <v>1054</v>
      </c>
      <c r="C45" s="427" t="s">
        <v>1190</v>
      </c>
      <c r="D45" s="427" t="s">
        <v>1191</v>
      </c>
      <c r="E45" s="427" t="s">
        <v>1192</v>
      </c>
      <c r="F45" s="187" t="s">
        <v>838</v>
      </c>
      <c r="G45" s="188" t="s">
        <v>662</v>
      </c>
      <c r="H45" s="188" t="s">
        <v>152</v>
      </c>
      <c r="I45" s="188" t="s">
        <v>840</v>
      </c>
      <c r="J45" s="188" t="s">
        <v>152</v>
      </c>
    </row>
    <row r="46" spans="2:10" ht="49.5" customHeight="1">
      <c r="B46" s="484"/>
      <c r="C46" s="427"/>
      <c r="D46" s="427"/>
      <c r="E46" s="427"/>
      <c r="F46" s="189" t="s">
        <v>926</v>
      </c>
      <c r="G46" s="189" t="s">
        <v>840</v>
      </c>
      <c r="H46" s="189" t="s">
        <v>152</v>
      </c>
      <c r="I46" s="189" t="s">
        <v>662</v>
      </c>
      <c r="J46" s="189" t="s">
        <v>152</v>
      </c>
    </row>
    <row r="47" spans="2:10" ht="49.5" customHeight="1">
      <c r="B47" s="484"/>
      <c r="C47" s="427"/>
      <c r="D47" s="427"/>
      <c r="E47" s="427"/>
      <c r="F47" s="186" t="s">
        <v>960</v>
      </c>
      <c r="G47" s="428" t="s">
        <v>942</v>
      </c>
      <c r="H47" s="428"/>
      <c r="I47" s="428"/>
      <c r="J47" s="428"/>
    </row>
    <row r="48" spans="2:10" ht="49.5" customHeight="1">
      <c r="B48" s="484" t="s">
        <v>570</v>
      </c>
      <c r="C48" s="427" t="s">
        <v>1193</v>
      </c>
      <c r="D48" s="427" t="s">
        <v>1194</v>
      </c>
      <c r="E48" s="427" t="s">
        <v>1195</v>
      </c>
      <c r="F48" s="187" t="s">
        <v>838</v>
      </c>
      <c r="G48" s="188" t="s">
        <v>1181</v>
      </c>
      <c r="H48" s="188" t="s">
        <v>152</v>
      </c>
      <c r="I48" s="188" t="s">
        <v>817</v>
      </c>
      <c r="J48" s="188" t="s">
        <v>152</v>
      </c>
    </row>
    <row r="49" spans="2:10" ht="49.5" customHeight="1">
      <c r="B49" s="484"/>
      <c r="C49" s="427"/>
      <c r="D49" s="427"/>
      <c r="E49" s="427"/>
      <c r="F49" s="189" t="s">
        <v>926</v>
      </c>
      <c r="G49" s="189" t="s">
        <v>817</v>
      </c>
      <c r="H49" s="189" t="s">
        <v>152</v>
      </c>
      <c r="I49" s="189" t="s">
        <v>1181</v>
      </c>
      <c r="J49" s="189" t="s">
        <v>152</v>
      </c>
    </row>
    <row r="50" spans="2:10" ht="49.5" customHeight="1">
      <c r="B50" s="484"/>
      <c r="C50" s="427"/>
      <c r="D50" s="427"/>
      <c r="E50" s="427"/>
      <c r="F50" s="186" t="s">
        <v>960</v>
      </c>
      <c r="G50" s="428" t="s">
        <v>942</v>
      </c>
      <c r="H50" s="428"/>
      <c r="I50" s="428"/>
      <c r="J50" s="428"/>
    </row>
    <row r="51" spans="2:10" ht="49.5" customHeight="1">
      <c r="B51" s="484" t="s">
        <v>560</v>
      </c>
      <c r="C51" s="427" t="s">
        <v>1196</v>
      </c>
      <c r="D51" s="427" t="s">
        <v>1197</v>
      </c>
      <c r="E51" s="427" t="s">
        <v>1198</v>
      </c>
      <c r="F51" s="187" t="s">
        <v>838</v>
      </c>
      <c r="G51" s="188" t="s">
        <v>797</v>
      </c>
      <c r="H51" s="188" t="s">
        <v>152</v>
      </c>
      <c r="I51" s="188" t="s">
        <v>662</v>
      </c>
      <c r="J51" s="188" t="s">
        <v>152</v>
      </c>
    </row>
    <row r="52" spans="2:10" ht="49.5" customHeight="1">
      <c r="B52" s="484"/>
      <c r="C52" s="427"/>
      <c r="D52" s="427"/>
      <c r="E52" s="427"/>
      <c r="F52" s="189" t="s">
        <v>926</v>
      </c>
      <c r="G52" s="189" t="s">
        <v>840</v>
      </c>
      <c r="H52" s="189" t="s">
        <v>152</v>
      </c>
      <c r="I52" s="189" t="s">
        <v>797</v>
      </c>
      <c r="J52" s="189" t="s">
        <v>152</v>
      </c>
    </row>
    <row r="53" spans="2:10" ht="49.5" customHeight="1">
      <c r="B53" s="484"/>
      <c r="C53" s="427"/>
      <c r="D53" s="427"/>
      <c r="E53" s="427"/>
      <c r="F53" s="186" t="s">
        <v>960</v>
      </c>
      <c r="G53" s="428" t="s">
        <v>942</v>
      </c>
      <c r="H53" s="428"/>
      <c r="I53" s="428"/>
      <c r="J53" s="428"/>
    </row>
    <row r="54" spans="2:10" ht="49.5" customHeight="1">
      <c r="B54" s="484" t="s">
        <v>560</v>
      </c>
      <c r="C54" s="427" t="s">
        <v>1199</v>
      </c>
      <c r="D54" s="427" t="s">
        <v>1200</v>
      </c>
      <c r="E54" s="427" t="s">
        <v>1198</v>
      </c>
      <c r="F54" s="187" t="s">
        <v>838</v>
      </c>
      <c r="G54" s="188" t="s">
        <v>797</v>
      </c>
      <c r="H54" s="188" t="s">
        <v>152</v>
      </c>
      <c r="I54" s="188" t="s">
        <v>662</v>
      </c>
      <c r="J54" s="188" t="s">
        <v>152</v>
      </c>
    </row>
    <row r="55" spans="2:10" ht="49.5" customHeight="1">
      <c r="B55" s="484"/>
      <c r="C55" s="427"/>
      <c r="D55" s="427"/>
      <c r="E55" s="427"/>
      <c r="F55" s="189" t="s">
        <v>926</v>
      </c>
      <c r="G55" s="189" t="s">
        <v>840</v>
      </c>
      <c r="H55" s="189" t="s">
        <v>152</v>
      </c>
      <c r="I55" s="189" t="s">
        <v>797</v>
      </c>
      <c r="J55" s="189" t="s">
        <v>152</v>
      </c>
    </row>
    <row r="56" spans="2:10" ht="49.5" customHeight="1">
      <c r="B56" s="484"/>
      <c r="C56" s="427"/>
      <c r="D56" s="427"/>
      <c r="E56" s="427"/>
      <c r="F56" s="186" t="s">
        <v>960</v>
      </c>
      <c r="G56" s="428" t="s">
        <v>942</v>
      </c>
      <c r="H56" s="428"/>
      <c r="I56" s="428"/>
      <c r="J56" s="428"/>
    </row>
    <row r="57" spans="2:10" ht="49.5" customHeight="1">
      <c r="B57" s="484" t="s">
        <v>560</v>
      </c>
      <c r="C57" s="427" t="s">
        <v>1201</v>
      </c>
      <c r="D57" s="427" t="s">
        <v>1202</v>
      </c>
      <c r="E57" s="427" t="s">
        <v>1198</v>
      </c>
      <c r="F57" s="187" t="s">
        <v>838</v>
      </c>
      <c r="G57" s="188" t="s">
        <v>797</v>
      </c>
      <c r="H57" s="188" t="s">
        <v>152</v>
      </c>
      <c r="I57" s="188" t="s">
        <v>662</v>
      </c>
      <c r="J57" s="188" t="s">
        <v>152</v>
      </c>
    </row>
    <row r="58" spans="2:10" ht="49.5" customHeight="1">
      <c r="B58" s="484"/>
      <c r="C58" s="427"/>
      <c r="D58" s="427"/>
      <c r="E58" s="427"/>
      <c r="F58" s="189" t="s">
        <v>926</v>
      </c>
      <c r="G58" s="189" t="s">
        <v>840</v>
      </c>
      <c r="H58" s="189" t="s">
        <v>152</v>
      </c>
      <c r="I58" s="189" t="s">
        <v>797</v>
      </c>
      <c r="J58" s="189" t="s">
        <v>152</v>
      </c>
    </row>
    <row r="59" spans="2:10" ht="49.5" customHeight="1">
      <c r="B59" s="484"/>
      <c r="C59" s="427"/>
      <c r="D59" s="427"/>
      <c r="E59" s="427"/>
      <c r="F59" s="186" t="s">
        <v>960</v>
      </c>
      <c r="G59" s="428" t="s">
        <v>942</v>
      </c>
      <c r="H59" s="428"/>
      <c r="I59" s="428"/>
      <c r="J59" s="428"/>
    </row>
    <row r="60" spans="2:10" ht="95.25" customHeight="1">
      <c r="B60" s="484" t="s">
        <v>580</v>
      </c>
      <c r="C60" s="427" t="s">
        <v>1203</v>
      </c>
      <c r="D60" s="427" t="s">
        <v>1204</v>
      </c>
      <c r="E60" s="427" t="s">
        <v>1205</v>
      </c>
      <c r="F60" s="187" t="s">
        <v>838</v>
      </c>
      <c r="G60" s="188" t="s">
        <v>1181</v>
      </c>
      <c r="H60" s="188" t="s">
        <v>152</v>
      </c>
      <c r="I60" s="188" t="s">
        <v>817</v>
      </c>
      <c r="J60" s="188" t="s">
        <v>152</v>
      </c>
    </row>
    <row r="61" spans="2:10" ht="95.25" customHeight="1">
      <c r="B61" s="484"/>
      <c r="C61" s="427"/>
      <c r="D61" s="427"/>
      <c r="E61" s="427"/>
      <c r="F61" s="189" t="s">
        <v>926</v>
      </c>
      <c r="G61" s="189" t="s">
        <v>817</v>
      </c>
      <c r="H61" s="189" t="s">
        <v>152</v>
      </c>
      <c r="I61" s="189" t="s">
        <v>1181</v>
      </c>
      <c r="J61" s="189" t="s">
        <v>152</v>
      </c>
    </row>
    <row r="62" spans="2:10" ht="95.25" customHeight="1">
      <c r="B62" s="484"/>
      <c r="C62" s="427"/>
      <c r="D62" s="427"/>
      <c r="E62" s="427"/>
      <c r="F62" s="186" t="s">
        <v>960</v>
      </c>
      <c r="G62" s="428" t="s">
        <v>942</v>
      </c>
      <c r="H62" s="428"/>
      <c r="I62" s="428"/>
      <c r="J62" s="428"/>
    </row>
    <row r="63" spans="2:10" ht="95.25" customHeight="1">
      <c r="B63" s="483" t="s">
        <v>172</v>
      </c>
      <c r="C63" s="427" t="s">
        <v>1206</v>
      </c>
      <c r="D63" s="427" t="s">
        <v>1207</v>
      </c>
      <c r="E63" s="427" t="s">
        <v>1208</v>
      </c>
      <c r="F63" s="187" t="s">
        <v>838</v>
      </c>
      <c r="G63" s="188" t="s">
        <v>662</v>
      </c>
      <c r="H63" s="188" t="s">
        <v>152</v>
      </c>
      <c r="I63" s="188" t="s">
        <v>797</v>
      </c>
      <c r="J63" s="188" t="s">
        <v>152</v>
      </c>
    </row>
    <row r="64" spans="2:10" ht="95.25" customHeight="1">
      <c r="B64" s="483"/>
      <c r="C64" s="427"/>
      <c r="D64" s="427"/>
      <c r="E64" s="427"/>
      <c r="F64" s="189" t="s">
        <v>926</v>
      </c>
      <c r="G64" s="189" t="s">
        <v>797</v>
      </c>
      <c r="H64" s="189" t="s">
        <v>152</v>
      </c>
      <c r="I64" s="189" t="s">
        <v>840</v>
      </c>
      <c r="J64" s="189" t="s">
        <v>152</v>
      </c>
    </row>
    <row r="65" spans="2:10" ht="95.25" customHeight="1">
      <c r="B65" s="483"/>
      <c r="C65" s="427"/>
      <c r="D65" s="427"/>
      <c r="E65" s="427"/>
      <c r="F65" s="186" t="s">
        <v>960</v>
      </c>
      <c r="G65" s="428" t="s">
        <v>942</v>
      </c>
      <c r="H65" s="428"/>
      <c r="I65" s="428"/>
      <c r="J65" s="428"/>
    </row>
    <row r="66" spans="2:10" ht="95.25" customHeight="1">
      <c r="B66" s="483" t="s">
        <v>389</v>
      </c>
      <c r="C66" s="427" t="s">
        <v>1209</v>
      </c>
      <c r="D66" s="427" t="s">
        <v>1210</v>
      </c>
      <c r="E66" s="427" t="s">
        <v>1211</v>
      </c>
      <c r="F66" s="187" t="s">
        <v>838</v>
      </c>
      <c r="G66" s="188" t="s">
        <v>797</v>
      </c>
      <c r="H66" s="188" t="s">
        <v>152</v>
      </c>
      <c r="I66" s="188" t="s">
        <v>662</v>
      </c>
      <c r="J66" s="188" t="s">
        <v>152</v>
      </c>
    </row>
    <row r="67" spans="2:10" ht="95.25" customHeight="1">
      <c r="B67" s="483"/>
      <c r="C67" s="427"/>
      <c r="D67" s="427"/>
      <c r="E67" s="427"/>
      <c r="F67" s="189" t="s">
        <v>926</v>
      </c>
      <c r="G67" s="189" t="s">
        <v>840</v>
      </c>
      <c r="H67" s="189" t="s">
        <v>152</v>
      </c>
      <c r="I67" s="189" t="s">
        <v>797</v>
      </c>
      <c r="J67" s="189" t="s">
        <v>152</v>
      </c>
    </row>
    <row r="68" spans="2:10" ht="95.25" customHeight="1">
      <c r="B68" s="483"/>
      <c r="C68" s="427"/>
      <c r="D68" s="427"/>
      <c r="E68" s="427"/>
      <c r="F68" s="186" t="s">
        <v>960</v>
      </c>
      <c r="G68" s="428" t="s">
        <v>942</v>
      </c>
      <c r="H68" s="428"/>
      <c r="I68" s="428"/>
      <c r="J68" s="428"/>
    </row>
    <row r="69" spans="2:10" ht="95.25" customHeight="1">
      <c r="B69" s="483" t="s">
        <v>293</v>
      </c>
      <c r="C69" s="427" t="s">
        <v>1212</v>
      </c>
      <c r="D69" s="427" t="s">
        <v>1213</v>
      </c>
      <c r="E69" s="427" t="s">
        <v>1214</v>
      </c>
      <c r="F69" s="187" t="s">
        <v>838</v>
      </c>
      <c r="G69" s="188" t="s">
        <v>797</v>
      </c>
      <c r="H69" s="188" t="s">
        <v>152</v>
      </c>
      <c r="I69" s="188" t="s">
        <v>662</v>
      </c>
      <c r="J69" s="188" t="s">
        <v>152</v>
      </c>
    </row>
    <row r="70" spans="2:10" ht="95.25" customHeight="1">
      <c r="B70" s="483"/>
      <c r="C70" s="427"/>
      <c r="D70" s="427"/>
      <c r="E70" s="427"/>
      <c r="F70" s="189" t="s">
        <v>926</v>
      </c>
      <c r="G70" s="189" t="s">
        <v>840</v>
      </c>
      <c r="H70" s="189" t="s">
        <v>152</v>
      </c>
      <c r="I70" s="189" t="s">
        <v>797</v>
      </c>
      <c r="J70" s="189" t="s">
        <v>152</v>
      </c>
    </row>
    <row r="71" spans="2:10" ht="95.25" customHeight="1">
      <c r="B71" s="483"/>
      <c r="C71" s="427"/>
      <c r="D71" s="427"/>
      <c r="E71" s="427"/>
      <c r="F71" s="186" t="s">
        <v>960</v>
      </c>
      <c r="G71" s="428" t="s">
        <v>942</v>
      </c>
      <c r="H71" s="428"/>
      <c r="I71" s="428"/>
      <c r="J71" s="428"/>
    </row>
    <row r="72" spans="2:10" ht="95.25" customHeight="1">
      <c r="B72" s="483" t="s">
        <v>135</v>
      </c>
      <c r="C72" s="427" t="s">
        <v>1215</v>
      </c>
      <c r="D72" s="427" t="s">
        <v>1216</v>
      </c>
      <c r="E72" s="427" t="s">
        <v>1217</v>
      </c>
      <c r="F72" s="187" t="s">
        <v>838</v>
      </c>
      <c r="G72" s="188" t="s">
        <v>797</v>
      </c>
      <c r="H72" s="188" t="s">
        <v>152</v>
      </c>
      <c r="I72" s="188" t="s">
        <v>662</v>
      </c>
      <c r="J72" s="188" t="s">
        <v>152</v>
      </c>
    </row>
    <row r="73" spans="2:10" ht="95.25" customHeight="1">
      <c r="B73" s="483"/>
      <c r="C73" s="427"/>
      <c r="D73" s="427"/>
      <c r="E73" s="427"/>
      <c r="F73" s="189" t="s">
        <v>926</v>
      </c>
      <c r="G73" s="189" t="s">
        <v>840</v>
      </c>
      <c r="H73" s="189" t="s">
        <v>152</v>
      </c>
      <c r="I73" s="189" t="s">
        <v>797</v>
      </c>
      <c r="J73" s="189" t="s">
        <v>152</v>
      </c>
    </row>
    <row r="74" spans="2:10" ht="95.25" customHeight="1">
      <c r="B74" s="483"/>
      <c r="C74" s="427"/>
      <c r="D74" s="427"/>
      <c r="E74" s="427"/>
      <c r="F74" s="186" t="s">
        <v>960</v>
      </c>
      <c r="G74" s="428" t="s">
        <v>942</v>
      </c>
      <c r="H74" s="428"/>
      <c r="I74" s="428"/>
      <c r="J74" s="428"/>
    </row>
    <row r="75" spans="2:10" ht="95.25" customHeight="1">
      <c r="B75" s="483" t="s">
        <v>135</v>
      </c>
      <c r="C75" s="427" t="s">
        <v>1218</v>
      </c>
      <c r="D75" s="427" t="s">
        <v>1219</v>
      </c>
      <c r="E75" s="427" t="s">
        <v>1217</v>
      </c>
      <c r="F75" s="187" t="s">
        <v>838</v>
      </c>
      <c r="G75" s="188" t="s">
        <v>797</v>
      </c>
      <c r="H75" s="188" t="s">
        <v>152</v>
      </c>
      <c r="I75" s="188" t="s">
        <v>662</v>
      </c>
      <c r="J75" s="188" t="s">
        <v>152</v>
      </c>
    </row>
    <row r="76" spans="2:10" ht="95.25" customHeight="1">
      <c r="B76" s="483"/>
      <c r="C76" s="427"/>
      <c r="D76" s="427"/>
      <c r="E76" s="427"/>
      <c r="F76" s="189" t="s">
        <v>926</v>
      </c>
      <c r="G76" s="189" t="s">
        <v>840</v>
      </c>
      <c r="H76" s="189" t="s">
        <v>152</v>
      </c>
      <c r="I76" s="189" t="s">
        <v>797</v>
      </c>
      <c r="J76" s="189" t="s">
        <v>152</v>
      </c>
    </row>
    <row r="77" spans="2:10" ht="95.25" customHeight="1">
      <c r="B77" s="483"/>
      <c r="C77" s="427"/>
      <c r="D77" s="427"/>
      <c r="E77" s="427"/>
      <c r="F77" s="186" t="s">
        <v>960</v>
      </c>
      <c r="G77" s="428" t="s">
        <v>942</v>
      </c>
      <c r="H77" s="428"/>
      <c r="I77" s="428"/>
      <c r="J77" s="428"/>
    </row>
    <row r="78" spans="2:10" ht="95.25" customHeight="1">
      <c r="B78" s="483" t="s">
        <v>394</v>
      </c>
      <c r="C78" s="427" t="s">
        <v>1220</v>
      </c>
      <c r="D78" s="427" t="s">
        <v>1221</v>
      </c>
      <c r="E78" s="427" t="s">
        <v>1222</v>
      </c>
      <c r="F78" s="187" t="s">
        <v>838</v>
      </c>
      <c r="G78" s="188" t="s">
        <v>797</v>
      </c>
      <c r="H78" s="188" t="s">
        <v>152</v>
      </c>
      <c r="I78" s="188" t="s">
        <v>662</v>
      </c>
      <c r="J78" s="188" t="s">
        <v>152</v>
      </c>
    </row>
    <row r="79" spans="2:10" ht="95.25" customHeight="1">
      <c r="B79" s="483"/>
      <c r="C79" s="427"/>
      <c r="D79" s="427"/>
      <c r="E79" s="427"/>
      <c r="F79" s="189" t="s">
        <v>926</v>
      </c>
      <c r="G79" s="189" t="s">
        <v>840</v>
      </c>
      <c r="H79" s="189" t="s">
        <v>152</v>
      </c>
      <c r="I79" s="189" t="s">
        <v>797</v>
      </c>
      <c r="J79" s="189" t="s">
        <v>152</v>
      </c>
    </row>
    <row r="80" spans="2:10" ht="95.25" customHeight="1">
      <c r="B80" s="483"/>
      <c r="C80" s="427"/>
      <c r="D80" s="427"/>
      <c r="E80" s="427"/>
      <c r="F80" s="186" t="s">
        <v>960</v>
      </c>
      <c r="G80" s="428" t="s">
        <v>942</v>
      </c>
      <c r="H80" s="428"/>
      <c r="I80" s="428"/>
      <c r="J80" s="428"/>
    </row>
    <row r="81" spans="2:10" ht="95.25" customHeight="1">
      <c r="B81" s="483" t="s">
        <v>1054</v>
      </c>
      <c r="C81" s="427" t="s">
        <v>1223</v>
      </c>
      <c r="D81" s="427" t="s">
        <v>1191</v>
      </c>
      <c r="E81" s="427" t="s">
        <v>1224</v>
      </c>
      <c r="F81" s="187" t="s">
        <v>838</v>
      </c>
      <c r="G81" s="188" t="s">
        <v>797</v>
      </c>
      <c r="H81" s="188" t="s">
        <v>152</v>
      </c>
      <c r="I81" s="188" t="s">
        <v>662</v>
      </c>
      <c r="J81" s="188" t="s">
        <v>152</v>
      </c>
    </row>
    <row r="82" spans="2:10" ht="95.25" customHeight="1">
      <c r="B82" s="483"/>
      <c r="C82" s="427"/>
      <c r="D82" s="427"/>
      <c r="E82" s="427"/>
      <c r="F82" s="189" t="s">
        <v>926</v>
      </c>
      <c r="G82" s="189" t="s">
        <v>840</v>
      </c>
      <c r="H82" s="189" t="s">
        <v>152</v>
      </c>
      <c r="I82" s="189" t="s">
        <v>797</v>
      </c>
      <c r="J82" s="189" t="s">
        <v>152</v>
      </c>
    </row>
    <row r="83" spans="2:10" ht="95.25" customHeight="1">
      <c r="B83" s="483"/>
      <c r="C83" s="427"/>
      <c r="D83" s="427"/>
      <c r="E83" s="427"/>
      <c r="F83" s="186" t="s">
        <v>960</v>
      </c>
      <c r="G83" s="428" t="s">
        <v>942</v>
      </c>
      <c r="H83" s="428"/>
      <c r="I83" s="428"/>
      <c r="J83" s="428"/>
    </row>
    <row r="84" spans="2:10" ht="95.25" customHeight="1">
      <c r="B84" s="483" t="s">
        <v>332</v>
      </c>
      <c r="C84" s="427" t="s">
        <v>1225</v>
      </c>
      <c r="D84" s="427" t="s">
        <v>1226</v>
      </c>
      <c r="E84" s="427" t="s">
        <v>1227</v>
      </c>
      <c r="F84" s="187" t="s">
        <v>838</v>
      </c>
      <c r="G84" s="188" t="s">
        <v>797</v>
      </c>
      <c r="H84" s="188" t="s">
        <v>152</v>
      </c>
      <c r="I84" s="188" t="s">
        <v>662</v>
      </c>
      <c r="J84" s="188" t="s">
        <v>152</v>
      </c>
    </row>
    <row r="85" spans="2:10" ht="95.25" customHeight="1">
      <c r="B85" s="483"/>
      <c r="C85" s="427"/>
      <c r="D85" s="427"/>
      <c r="E85" s="427"/>
      <c r="F85" s="189" t="s">
        <v>926</v>
      </c>
      <c r="G85" s="189" t="s">
        <v>840</v>
      </c>
      <c r="H85" s="189" t="s">
        <v>152</v>
      </c>
      <c r="I85" s="189" t="s">
        <v>797</v>
      </c>
      <c r="J85" s="189" t="s">
        <v>152</v>
      </c>
    </row>
    <row r="86" spans="2:10" ht="95.25" customHeight="1">
      <c r="B86" s="483"/>
      <c r="C86" s="427"/>
      <c r="D86" s="427"/>
      <c r="E86" s="427"/>
      <c r="F86" s="186" t="s">
        <v>960</v>
      </c>
      <c r="G86" s="428" t="s">
        <v>942</v>
      </c>
      <c r="H86" s="428"/>
      <c r="I86" s="428"/>
      <c r="J86" s="428"/>
    </row>
    <row r="87" spans="2:10" ht="95.25" customHeight="1">
      <c r="B87" s="483" t="s">
        <v>405</v>
      </c>
      <c r="C87" s="427" t="s">
        <v>1228</v>
      </c>
      <c r="D87" s="427" t="s">
        <v>1229</v>
      </c>
      <c r="E87" s="427" t="s">
        <v>1230</v>
      </c>
      <c r="F87" s="187" t="s">
        <v>838</v>
      </c>
      <c r="G87" s="188" t="s">
        <v>797</v>
      </c>
      <c r="H87" s="188" t="s">
        <v>152</v>
      </c>
      <c r="I87" s="188" t="s">
        <v>662</v>
      </c>
      <c r="J87" s="188" t="s">
        <v>152</v>
      </c>
    </row>
    <row r="88" spans="2:10" ht="95.25" customHeight="1">
      <c r="B88" s="483"/>
      <c r="C88" s="427"/>
      <c r="D88" s="427"/>
      <c r="E88" s="427"/>
      <c r="F88" s="189" t="s">
        <v>926</v>
      </c>
      <c r="G88" s="189" t="s">
        <v>840</v>
      </c>
      <c r="H88" s="189" t="s">
        <v>152</v>
      </c>
      <c r="I88" s="189" t="s">
        <v>797</v>
      </c>
      <c r="J88" s="189" t="s">
        <v>152</v>
      </c>
    </row>
    <row r="89" spans="2:10" ht="95.25" customHeight="1">
      <c r="B89" s="483"/>
      <c r="C89" s="427"/>
      <c r="D89" s="427"/>
      <c r="E89" s="427"/>
      <c r="F89" s="186" t="s">
        <v>960</v>
      </c>
      <c r="G89" s="428" t="s">
        <v>942</v>
      </c>
      <c r="H89" s="428"/>
      <c r="I89" s="428"/>
      <c r="J89" s="428"/>
    </row>
    <row r="90" spans="2:10" ht="95.25" customHeight="1">
      <c r="B90" s="483" t="s">
        <v>517</v>
      </c>
      <c r="C90" s="427" t="s">
        <v>1231</v>
      </c>
      <c r="D90" s="427" t="s">
        <v>1232</v>
      </c>
      <c r="E90" s="427" t="s">
        <v>1233</v>
      </c>
      <c r="F90" s="187" t="s">
        <v>838</v>
      </c>
      <c r="G90" s="188" t="s">
        <v>797</v>
      </c>
      <c r="H90" s="188" t="s">
        <v>152</v>
      </c>
      <c r="I90" s="188" t="s">
        <v>662</v>
      </c>
      <c r="J90" s="188" t="s">
        <v>152</v>
      </c>
    </row>
    <row r="91" spans="2:10" ht="95.25" customHeight="1">
      <c r="B91" s="483"/>
      <c r="C91" s="427"/>
      <c r="D91" s="427"/>
      <c r="E91" s="427"/>
      <c r="F91" s="189" t="s">
        <v>926</v>
      </c>
      <c r="G91" s="189" t="s">
        <v>840</v>
      </c>
      <c r="H91" s="189" t="s">
        <v>152</v>
      </c>
      <c r="I91" s="189" t="s">
        <v>797</v>
      </c>
      <c r="J91" s="189" t="s">
        <v>152</v>
      </c>
    </row>
    <row r="92" spans="2:10" ht="95.25" customHeight="1">
      <c r="B92" s="483"/>
      <c r="C92" s="427"/>
      <c r="D92" s="427"/>
      <c r="E92" s="427"/>
      <c r="F92" s="186" t="s">
        <v>960</v>
      </c>
      <c r="G92" s="428" t="s">
        <v>942</v>
      </c>
      <c r="H92" s="428"/>
      <c r="I92" s="428"/>
      <c r="J92" s="428"/>
    </row>
    <row r="93" spans="2:10" ht="95.25" customHeight="1">
      <c r="B93" s="483" t="s">
        <v>443</v>
      </c>
      <c r="C93" s="427" t="s">
        <v>1234</v>
      </c>
      <c r="D93" s="427" t="s">
        <v>1235</v>
      </c>
      <c r="E93" s="427" t="s">
        <v>1236</v>
      </c>
      <c r="F93" s="187" t="s">
        <v>838</v>
      </c>
      <c r="G93" s="188" t="s">
        <v>797</v>
      </c>
      <c r="H93" s="188" t="s">
        <v>152</v>
      </c>
      <c r="I93" s="188" t="s">
        <v>662</v>
      </c>
      <c r="J93" s="188" t="s">
        <v>152</v>
      </c>
    </row>
    <row r="94" spans="2:10" ht="95.25" customHeight="1">
      <c r="B94" s="483"/>
      <c r="C94" s="427"/>
      <c r="D94" s="427"/>
      <c r="E94" s="427"/>
      <c r="F94" s="189" t="s">
        <v>926</v>
      </c>
      <c r="G94" s="189" t="s">
        <v>840</v>
      </c>
      <c r="H94" s="189" t="s">
        <v>152</v>
      </c>
      <c r="I94" s="189" t="s">
        <v>797</v>
      </c>
      <c r="J94" s="189" t="s">
        <v>152</v>
      </c>
    </row>
    <row r="95" spans="2:10" ht="95.25" customHeight="1">
      <c r="B95" s="483"/>
      <c r="C95" s="427"/>
      <c r="D95" s="427"/>
      <c r="E95" s="427"/>
      <c r="F95" s="186" t="s">
        <v>960</v>
      </c>
      <c r="G95" s="428" t="s">
        <v>942</v>
      </c>
      <c r="H95" s="428"/>
      <c r="I95" s="428"/>
      <c r="J95" s="428"/>
    </row>
    <row r="96" spans="2:10" ht="95.25" customHeight="1">
      <c r="B96" s="483" t="s">
        <v>443</v>
      </c>
      <c r="C96" s="427" t="s">
        <v>1237</v>
      </c>
      <c r="D96" s="427" t="s">
        <v>1238</v>
      </c>
      <c r="E96" s="427" t="s">
        <v>1239</v>
      </c>
      <c r="F96" s="187" t="s">
        <v>838</v>
      </c>
      <c r="G96" s="188" t="s">
        <v>797</v>
      </c>
      <c r="H96" s="188" t="s">
        <v>152</v>
      </c>
      <c r="I96" s="188" t="s">
        <v>662</v>
      </c>
      <c r="J96" s="188" t="s">
        <v>152</v>
      </c>
    </row>
    <row r="97" spans="2:10" ht="95.25" customHeight="1">
      <c r="B97" s="483"/>
      <c r="C97" s="427"/>
      <c r="D97" s="427"/>
      <c r="E97" s="427"/>
      <c r="F97" s="189" t="s">
        <v>926</v>
      </c>
      <c r="G97" s="189" t="s">
        <v>840</v>
      </c>
      <c r="H97" s="189" t="s">
        <v>152</v>
      </c>
      <c r="I97" s="189" t="s">
        <v>797</v>
      </c>
      <c r="J97" s="189" t="s">
        <v>152</v>
      </c>
    </row>
    <row r="98" spans="2:10" ht="95.25" customHeight="1">
      <c r="B98" s="483"/>
      <c r="C98" s="427"/>
      <c r="D98" s="427"/>
      <c r="E98" s="427"/>
      <c r="F98" s="186" t="s">
        <v>960</v>
      </c>
      <c r="G98" s="428" t="s">
        <v>942</v>
      </c>
      <c r="H98" s="428"/>
      <c r="I98" s="428"/>
      <c r="J98" s="428"/>
    </row>
    <row r="99" spans="2:10" ht="95.25" customHeight="1">
      <c r="B99" s="483" t="s">
        <v>502</v>
      </c>
      <c r="C99" s="427" t="s">
        <v>1240</v>
      </c>
      <c r="D99" s="427" t="s">
        <v>1241</v>
      </c>
      <c r="E99" s="427" t="s">
        <v>1242</v>
      </c>
      <c r="F99" s="187" t="s">
        <v>838</v>
      </c>
      <c r="G99" s="188" t="s">
        <v>797</v>
      </c>
      <c r="H99" s="188" t="s">
        <v>152</v>
      </c>
      <c r="I99" s="188" t="s">
        <v>662</v>
      </c>
      <c r="J99" s="188" t="s">
        <v>152</v>
      </c>
    </row>
    <row r="100" spans="2:10" ht="95.25" customHeight="1">
      <c r="B100" s="483"/>
      <c r="C100" s="427"/>
      <c r="D100" s="427"/>
      <c r="E100" s="427"/>
      <c r="F100" s="189" t="s">
        <v>926</v>
      </c>
      <c r="G100" s="189" t="s">
        <v>840</v>
      </c>
      <c r="H100" s="189" t="s">
        <v>152</v>
      </c>
      <c r="I100" s="189" t="s">
        <v>797</v>
      </c>
      <c r="J100" s="189" t="s">
        <v>152</v>
      </c>
    </row>
    <row r="101" spans="2:10" ht="95.25" customHeight="1">
      <c r="B101" s="483"/>
      <c r="C101" s="427"/>
      <c r="D101" s="427"/>
      <c r="E101" s="427"/>
      <c r="F101" s="186" t="s">
        <v>960</v>
      </c>
      <c r="G101" s="428" t="s">
        <v>942</v>
      </c>
      <c r="H101" s="428"/>
      <c r="I101" s="428"/>
      <c r="J101" s="428"/>
    </row>
  </sheetData>
  <autoFilter ref="B2:J44" xr:uid="{7D7D040B-8DF6-4A3C-88C6-4A94D77C3258}">
    <filterColumn colId="5">
      <filters>
        <filter val="BRENDA LILIAN MARINHO DE ALMEIDA_x000a_(mat. 1154)"/>
      </filters>
    </filterColumn>
  </autoFilter>
  <mergeCells count="166">
    <mergeCell ref="B81:B83"/>
    <mergeCell ref="C81:C83"/>
    <mergeCell ref="D81:D83"/>
    <mergeCell ref="E81:E83"/>
    <mergeCell ref="G83:J83"/>
    <mergeCell ref="B78:B80"/>
    <mergeCell ref="C78:C80"/>
    <mergeCell ref="D78:D80"/>
    <mergeCell ref="E78:E80"/>
    <mergeCell ref="G80:J80"/>
    <mergeCell ref="B54:B56"/>
    <mergeCell ref="C54:C56"/>
    <mergeCell ref="D54:D56"/>
    <mergeCell ref="E54:E56"/>
    <mergeCell ref="G56:J56"/>
    <mergeCell ref="B66:B68"/>
    <mergeCell ref="C66:C68"/>
    <mergeCell ref="D66:D68"/>
    <mergeCell ref="E66:E68"/>
    <mergeCell ref="G68:J68"/>
    <mergeCell ref="D60:D62"/>
    <mergeCell ref="E60:E62"/>
    <mergeCell ref="G62:J62"/>
    <mergeCell ref="B60:B62"/>
    <mergeCell ref="C60:C62"/>
    <mergeCell ref="B57:B59"/>
    <mergeCell ref="C57:C59"/>
    <mergeCell ref="D57:D59"/>
    <mergeCell ref="E57:E59"/>
    <mergeCell ref="G59:J59"/>
    <mergeCell ref="B24:B26"/>
    <mergeCell ref="C24:C26"/>
    <mergeCell ref="D24:D26"/>
    <mergeCell ref="E24:E26"/>
    <mergeCell ref="G26:J26"/>
    <mergeCell ref="B33:B35"/>
    <mergeCell ref="C33:C35"/>
    <mergeCell ref="D33:D35"/>
    <mergeCell ref="E33:E35"/>
    <mergeCell ref="G35:J35"/>
    <mergeCell ref="B30:B32"/>
    <mergeCell ref="C30:C32"/>
    <mergeCell ref="D30:D32"/>
    <mergeCell ref="E30:E32"/>
    <mergeCell ref="G32:J32"/>
    <mergeCell ref="B27:B29"/>
    <mergeCell ref="C27:C29"/>
    <mergeCell ref="D27:D29"/>
    <mergeCell ref="E27:E29"/>
    <mergeCell ref="G29:J29"/>
    <mergeCell ref="B15:B17"/>
    <mergeCell ref="C15:C17"/>
    <mergeCell ref="D15:D17"/>
    <mergeCell ref="E15:E17"/>
    <mergeCell ref="G17:J17"/>
    <mergeCell ref="B21:B23"/>
    <mergeCell ref="C21:C23"/>
    <mergeCell ref="D21:D23"/>
    <mergeCell ref="E21:E23"/>
    <mergeCell ref="G23:J23"/>
    <mergeCell ref="B18:B20"/>
    <mergeCell ref="C18:C20"/>
    <mergeCell ref="D18:D20"/>
    <mergeCell ref="E18:E20"/>
    <mergeCell ref="G20:J20"/>
    <mergeCell ref="B1:J1"/>
    <mergeCell ref="B3:B5"/>
    <mergeCell ref="C3:C5"/>
    <mergeCell ref="D3:D5"/>
    <mergeCell ref="E3:E5"/>
    <mergeCell ref="G5:J5"/>
    <mergeCell ref="B12:B14"/>
    <mergeCell ref="C12:C14"/>
    <mergeCell ref="D12:D14"/>
    <mergeCell ref="G14:J14"/>
    <mergeCell ref="B9:B11"/>
    <mergeCell ref="C9:C11"/>
    <mergeCell ref="D9:D11"/>
    <mergeCell ref="E9:E11"/>
    <mergeCell ref="G11:J11"/>
    <mergeCell ref="E12:E14"/>
    <mergeCell ref="B6:B8"/>
    <mergeCell ref="C6:C8"/>
    <mergeCell ref="D6:D8"/>
    <mergeCell ref="E6:E8"/>
    <mergeCell ref="G8:J8"/>
    <mergeCell ref="B36:B38"/>
    <mergeCell ref="C36:C38"/>
    <mergeCell ref="D36:D38"/>
    <mergeCell ref="E36:E38"/>
    <mergeCell ref="G38:J38"/>
    <mergeCell ref="B45:B47"/>
    <mergeCell ref="C45:C47"/>
    <mergeCell ref="D45:D47"/>
    <mergeCell ref="E45:E47"/>
    <mergeCell ref="G47:J47"/>
    <mergeCell ref="B42:B44"/>
    <mergeCell ref="C42:C44"/>
    <mergeCell ref="D42:D44"/>
    <mergeCell ref="E42:E44"/>
    <mergeCell ref="G44:J44"/>
    <mergeCell ref="B39:B41"/>
    <mergeCell ref="C39:C41"/>
    <mergeCell ref="D39:D41"/>
    <mergeCell ref="E39:E41"/>
    <mergeCell ref="G41:J41"/>
    <mergeCell ref="B51:B53"/>
    <mergeCell ref="C51:C53"/>
    <mergeCell ref="D51:D53"/>
    <mergeCell ref="E51:E53"/>
    <mergeCell ref="G53:J53"/>
    <mergeCell ref="B48:B50"/>
    <mergeCell ref="C48:C50"/>
    <mergeCell ref="D48:D50"/>
    <mergeCell ref="E48:E50"/>
    <mergeCell ref="G50:J50"/>
    <mergeCell ref="B69:B71"/>
    <mergeCell ref="C69:C71"/>
    <mergeCell ref="D69:D71"/>
    <mergeCell ref="E69:E71"/>
    <mergeCell ref="G71:J71"/>
    <mergeCell ref="B63:B65"/>
    <mergeCell ref="C63:C65"/>
    <mergeCell ref="D63:D65"/>
    <mergeCell ref="E63:E65"/>
    <mergeCell ref="G65:J65"/>
    <mergeCell ref="B84:B86"/>
    <mergeCell ref="C84:C86"/>
    <mergeCell ref="D84:D86"/>
    <mergeCell ref="E84:E86"/>
    <mergeCell ref="G86:J86"/>
    <mergeCell ref="B87:B89"/>
    <mergeCell ref="C87:C89"/>
    <mergeCell ref="D87:D89"/>
    <mergeCell ref="E87:E89"/>
    <mergeCell ref="G89:J89"/>
    <mergeCell ref="B90:B92"/>
    <mergeCell ref="C90:C92"/>
    <mergeCell ref="D90:D92"/>
    <mergeCell ref="E90:E92"/>
    <mergeCell ref="G92:J92"/>
    <mergeCell ref="B93:B95"/>
    <mergeCell ref="C93:C95"/>
    <mergeCell ref="D93:D95"/>
    <mergeCell ref="E93:E95"/>
    <mergeCell ref="G95:J95"/>
    <mergeCell ref="B96:B98"/>
    <mergeCell ref="C96:C98"/>
    <mergeCell ref="D96:D98"/>
    <mergeCell ref="E96:E98"/>
    <mergeCell ref="G98:J98"/>
    <mergeCell ref="B99:B101"/>
    <mergeCell ref="C99:C101"/>
    <mergeCell ref="D99:D101"/>
    <mergeCell ref="E99:E101"/>
    <mergeCell ref="G101:J101"/>
    <mergeCell ref="C72:C74"/>
    <mergeCell ref="D72:D74"/>
    <mergeCell ref="E72:E74"/>
    <mergeCell ref="B72:B74"/>
    <mergeCell ref="G74:J74"/>
    <mergeCell ref="B75:B77"/>
    <mergeCell ref="C75:C77"/>
    <mergeCell ref="D75:D77"/>
    <mergeCell ref="E75:E77"/>
    <mergeCell ref="G77:J77"/>
  </mergeCells>
  <hyperlinks>
    <hyperlink ref="B12" r:id="rId1" display="https://sei.cjf.jus.br/sei/controlador.php?acao=procedimento_trabalhar&amp;id_procedimento=473010" xr:uid="{D3DA0162-8E69-46BE-B8E7-8CC46C271EEC}"/>
    <hyperlink ref="B3:B5" r:id="rId2" display="0002038-57.2025.4.90.8000" xr:uid="{A268CDA5-2F13-4F99-883D-F65CF8B8D659}"/>
    <hyperlink ref="B9:B11" r:id="rId3" display="0000503-33.2025.4.90.8000" xr:uid="{54BA576F-1C17-4462-880A-6C5017E7DBE2}"/>
    <hyperlink ref="B6:B8" r:id="rId4" display="0000493-18.2024.4.90.8000" xr:uid="{6ED0661F-23A6-483A-B33A-E42D1FC97A4D}"/>
    <hyperlink ref="B33:B35" r:id="rId5" display="0003178-74.2020.4.90.8000" xr:uid="{EDC5A895-73A1-408B-BCEC-656BF765D85B}"/>
    <hyperlink ref="B18:B20" r:id="rId6" display="0003692-15.2024.4.90.8000" xr:uid="{F8F1FD4A-6094-462A-A9CE-4BD75AAE2B50}"/>
    <hyperlink ref="B21:B23" r:id="rId7" display="0004442-13.2020.4.90.8000" xr:uid="{F188498F-516A-4C3E-8110-8AC44549626A}"/>
    <hyperlink ref="B15:B17" r:id="rId8" display="0002477-80.2023.4.90.8000" xr:uid="{DA4C0AAF-309C-4CFE-88C8-1276406E6818}"/>
    <hyperlink ref="B24:B26" r:id="rId9" display="0000179-46.2023.4.90.8000" xr:uid="{AD437376-12C8-4A5A-B627-82A9803B678D}"/>
    <hyperlink ref="B36:B38" r:id="rId10" display="0000050-25.2025.4.05.7000" xr:uid="{DF253A43-DE80-40CF-B6CD-BBCE84F2DC04}"/>
    <hyperlink ref="B30:B32" r:id="rId11" display="0010274-90.2024.4.04.8000" xr:uid="{0607ECB8-3A1C-43EC-AD85-BD64BF165D53}"/>
    <hyperlink ref="B27:B29" r:id="rId12" display="0003441-13.2022.4.90.8000" xr:uid="{03CED9B8-D763-4B36-BA20-1829DE557523}"/>
    <hyperlink ref="B39:B41" r:id="rId13" display="0000503-33.2025.4.90.8000" xr:uid="{358E10C5-91B2-46C0-9F2D-D599585948C7}"/>
  </hyperlinks>
  <pageMargins left="0.25" right="0.25" top="0.75" bottom="0.75" header="0.3" footer="0.3"/>
  <pageSetup paperSize="9" scale="40" fitToWidth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660E-1C4C-4F11-838E-99B628E98BC0}">
  <sheetPr>
    <pageSetUpPr fitToPage="1"/>
  </sheetPr>
  <dimension ref="B1:P70"/>
  <sheetViews>
    <sheetView zoomScale="80" zoomScaleNormal="80" workbookViewId="0">
      <pane ySplit="2" topLeftCell="A3" activePane="bottomLeft" state="frozen"/>
      <selection pane="bottomLeft" activeCell="B1" sqref="B1:J1"/>
    </sheetView>
  </sheetViews>
  <sheetFormatPr defaultRowHeight="95.25" customHeight="1"/>
  <cols>
    <col min="1" max="1" width="3.42578125" customWidth="1"/>
    <col min="2" max="3" width="27.42578125" customWidth="1"/>
    <col min="4" max="4" width="43.140625" customWidth="1"/>
    <col min="5" max="5" width="18.42578125" customWidth="1"/>
    <col min="6" max="6" width="23.5703125" customWidth="1"/>
    <col min="7" max="7" width="50.7109375" customWidth="1"/>
    <col min="8" max="8" width="15" customWidth="1"/>
    <col min="9" max="9" width="44.42578125" customWidth="1"/>
    <col min="10" max="10" width="15.5703125" customWidth="1"/>
    <col min="12" max="12" width="11.85546875" bestFit="1" customWidth="1"/>
  </cols>
  <sheetData>
    <row r="1" spans="2:16" ht="75" customHeight="1" thickBot="1">
      <c r="B1" s="439" t="s">
        <v>1243</v>
      </c>
      <c r="C1" s="440"/>
      <c r="D1" s="441"/>
      <c r="E1" s="441"/>
      <c r="F1" s="441"/>
      <c r="G1" s="441"/>
      <c r="H1" s="441"/>
      <c r="I1" s="441"/>
      <c r="J1" s="442"/>
    </row>
    <row r="2" spans="2:16" ht="33.75" customHeight="1" thickBot="1">
      <c r="B2" s="176" t="s">
        <v>2</v>
      </c>
      <c r="C2" s="177" t="s">
        <v>1244</v>
      </c>
      <c r="D2" s="178" t="s">
        <v>643</v>
      </c>
      <c r="E2" s="179" t="s">
        <v>644</v>
      </c>
      <c r="F2" s="180" t="s">
        <v>920</v>
      </c>
      <c r="G2" s="180" t="s">
        <v>646</v>
      </c>
      <c r="H2" s="181" t="s">
        <v>647</v>
      </c>
      <c r="I2" s="180" t="s">
        <v>648</v>
      </c>
      <c r="J2" s="182" t="s">
        <v>647</v>
      </c>
    </row>
    <row r="3" spans="2:16" ht="120.75" thickBot="1">
      <c r="B3" s="175" t="s">
        <v>1245</v>
      </c>
      <c r="C3" s="172" t="s">
        <v>1246</v>
      </c>
      <c r="D3" s="172" t="s">
        <v>1247</v>
      </c>
      <c r="E3" s="172" t="s">
        <v>1248</v>
      </c>
      <c r="F3" s="172" t="s">
        <v>1249</v>
      </c>
      <c r="G3" s="173" t="s">
        <v>1250</v>
      </c>
      <c r="H3" s="174" t="s">
        <v>89</v>
      </c>
      <c r="I3" s="173" t="s">
        <v>1251</v>
      </c>
      <c r="J3" s="67" t="s">
        <v>1252</v>
      </c>
    </row>
    <row r="4" spans="2:16" ht="50.1" customHeight="1">
      <c r="L4" s="2"/>
    </row>
    <row r="5" spans="2:16" ht="50.1" customHeight="1"/>
    <row r="6" spans="2:16" ht="50.1" customHeight="1"/>
    <row r="7" spans="2:16" ht="50.1" customHeight="1">
      <c r="L7" s="3"/>
    </row>
    <row r="8" spans="2:16" ht="50.1" customHeight="1">
      <c r="L8" s="3"/>
    </row>
    <row r="9" spans="2:16" ht="50.1" customHeight="1">
      <c r="K9" s="3"/>
      <c r="L9" s="3"/>
      <c r="M9" s="3"/>
      <c r="N9" s="3"/>
      <c r="O9" s="3"/>
      <c r="P9" s="3"/>
    </row>
    <row r="10" spans="2:16" ht="50.1" customHeight="1">
      <c r="L10" s="3"/>
    </row>
    <row r="11" spans="2:16" ht="50.1" customHeight="1"/>
    <row r="12" spans="2:16" ht="50.1" customHeight="1"/>
    <row r="13" spans="2:16" ht="50.1" customHeight="1"/>
    <row r="14" spans="2:16" ht="50.1" customHeight="1"/>
    <row r="15" spans="2:16" ht="50.1" customHeight="1"/>
    <row r="16" spans="2:16" ht="50.1" customHeight="1"/>
    <row r="17" ht="50.1" customHeight="1"/>
    <row r="18" ht="50.1" customHeight="1"/>
    <row r="19" ht="50.1" customHeight="1"/>
    <row r="20" ht="50.1" customHeight="1"/>
    <row r="21" ht="50.1" customHeight="1"/>
    <row r="22" ht="50.1" customHeight="1"/>
    <row r="23" ht="50.1" customHeight="1"/>
    <row r="24" ht="50.1" customHeight="1"/>
    <row r="25" ht="50.1" customHeight="1"/>
    <row r="26" ht="50.1" customHeight="1"/>
    <row r="27" ht="50.1" customHeight="1"/>
    <row r="28" ht="50.1" customHeight="1"/>
    <row r="29" ht="50.1" customHeight="1"/>
    <row r="30" ht="50.1" customHeight="1"/>
    <row r="31" ht="50.1" customHeight="1"/>
    <row r="32" ht="50.1" customHeight="1"/>
    <row r="33" ht="50.1" customHeight="1"/>
    <row r="34" ht="50.1" customHeight="1"/>
    <row r="35" ht="50.1" customHeight="1"/>
    <row r="36" ht="50.1" customHeight="1"/>
    <row r="37" ht="50.1" customHeight="1"/>
    <row r="38" ht="50.1" customHeight="1"/>
    <row r="39" ht="50.1" customHeight="1"/>
    <row r="40" ht="50.1" customHeight="1"/>
    <row r="41" ht="50.1" customHeight="1"/>
    <row r="42" ht="50.1" customHeight="1"/>
    <row r="43" ht="50.1" customHeight="1"/>
    <row r="44" ht="50.1" customHeight="1"/>
    <row r="45" ht="50.1" customHeight="1"/>
    <row r="46" ht="50.1" customHeight="1"/>
    <row r="47" ht="50.1" customHeight="1"/>
    <row r="48" ht="50.1" customHeight="1"/>
    <row r="49" ht="50.1" customHeight="1"/>
    <row r="50" ht="50.1" customHeight="1"/>
    <row r="51" ht="50.1" customHeight="1"/>
    <row r="52" ht="75" customHeight="1"/>
    <row r="53" ht="75" customHeight="1"/>
    <row r="54" ht="75" customHeight="1"/>
    <row r="55" ht="75" customHeight="1"/>
    <row r="56" ht="75" customHeight="1"/>
    <row r="57" ht="75" customHeight="1"/>
    <row r="58" ht="75" customHeight="1"/>
    <row r="59" ht="75" customHeight="1"/>
    <row r="60" ht="75" customHeight="1"/>
    <row r="61" ht="75" customHeight="1"/>
    <row r="62" ht="75" customHeight="1"/>
    <row r="63" ht="75" customHeight="1"/>
    <row r="64" ht="75" customHeight="1"/>
    <row r="65" ht="50.1" customHeight="1"/>
    <row r="66" ht="50.1" customHeight="1"/>
    <row r="67" ht="50.1" customHeight="1"/>
    <row r="68" ht="50.1" customHeight="1"/>
    <row r="69" ht="50.1" customHeight="1"/>
    <row r="70" ht="50.1" customHeight="1"/>
  </sheetData>
  <mergeCells count="1">
    <mergeCell ref="B1:J1"/>
  </mergeCells>
  <pageMargins left="0.25" right="0.25" top="0.75" bottom="0.75" header="0.3" footer="0.3"/>
  <pageSetup paperSize="9" scale="40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68E566FD614848B60566A002482DD9" ma:contentTypeVersion="4" ma:contentTypeDescription="Crie um novo documento." ma:contentTypeScope="" ma:versionID="b423a49bdae2564d67597ba614458e97">
  <xsd:schema xmlns:xsd="http://www.w3.org/2001/XMLSchema" xmlns:xs="http://www.w3.org/2001/XMLSchema" xmlns:p="http://schemas.microsoft.com/office/2006/metadata/properties" xmlns:ns2="74ac8fee-8bbb-46a6-a77e-198a2b0ff3f1" targetNamespace="http://schemas.microsoft.com/office/2006/metadata/properties" ma:root="true" ma:fieldsID="c010871be25bbef9da639193d1b52fe9" ns2:_="">
    <xsd:import namespace="74ac8fee-8bbb-46a6-a77e-198a2b0ff3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c8fee-8bbb-46a6-a77e-198a2b0ff3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B61E7-49C8-49A8-B3C9-86E50F339DE6}"/>
</file>

<file path=customXml/itemProps2.xml><?xml version="1.0" encoding="utf-8"?>
<ds:datastoreItem xmlns:ds="http://schemas.openxmlformats.org/officeDocument/2006/customXml" ds:itemID="{F9826DE8-9D3B-4E5B-A025-BE353981E5C6}"/>
</file>

<file path=customXml/itemProps3.xml><?xml version="1.0" encoding="utf-8"?>
<ds:datastoreItem xmlns:ds="http://schemas.openxmlformats.org/officeDocument/2006/customXml" ds:itemID="{2265098D-7F1C-491D-B3D7-68880E29AFC5}"/>
</file>

<file path=docMetadata/LabelInfo.xml><?xml version="1.0" encoding="utf-8"?>
<clbl:labelList xmlns:clbl="http://schemas.microsoft.com/office/2020/mipLabelMetadata">
  <clbl:label id="{456357bf-012f-48e7-ba3a-5085314c607b}" enabled="0" method="" siteId="{456357bf-012f-48e7-ba3a-5085314c60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Alice Álvares de Oliveira</dc:creator>
  <cp:keywords/>
  <dc:description/>
  <cp:lastModifiedBy/>
  <cp:revision/>
  <dcterms:created xsi:type="dcterms:W3CDTF">2023-05-12T20:25:38Z</dcterms:created>
  <dcterms:modified xsi:type="dcterms:W3CDTF">2026-05-13T14:17:48Z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0x010100C268E566FD614848B60566A002482DD9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